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040" windowHeight="9060" tabRatio="959" firstSheet="0" activeTab="0" autoFilterDateGrouping="1"/>
  </bookViews>
  <sheets>
    <sheet name="展示用-2026年签约数据汇总（0702统计）" sheetId="1" state="visible" r:id="rId1"/>
    <sheet name="展示用-签约排名汇总（0702统计）" sheetId="2" state="visible" r:id="rId2"/>
    <sheet name="展示用-2026年回款数据汇总(0702统计)" sheetId="3" state="visible" r:id="rId3"/>
    <sheet name="明细" sheetId="4" state="visible" r:id="rId4"/>
  </sheets>
  <definedNames>
    <definedName name="品类_01">#REF!</definedName>
    <definedName name="品类_01" localSheetId="0">#REF!</definedName>
    <definedName name="_xlnm._FilterDatabase" localSheetId="0" hidden="1">'展示用-2026年签约数据汇总（0702统计）'!$A$3:$T$64</definedName>
    <definedName name="品类_01" localSheetId="2">#REF!</definedName>
    <definedName name="_xlnm._FilterDatabase" localSheetId="2" hidden="1">'展示用-2026年回款数据汇总(0702统计)'!$A$2:$AC$7</definedName>
    <definedName name="_xlnm._FilterDatabase" localSheetId="3" hidden="1">'明细'!$A$1:$X$2</definedName>
  </definedNames>
  <calcPr calcId="191029" calcMode="auto" fullCalcOnLoad="1" forceFullCalc="1"/>
</workbook>
</file>

<file path=xl/comments2.xml><?xml version="1.0" encoding="utf-8"?>
<comments xmlns="http://schemas.openxmlformats.org/spreadsheetml/2006/main">
  <authors>
    <author>Administrator</author>
  </authors>
  <commentList>
    <comment ref="S4" authorId="0">
      <text>
        <r>
          <rPr>
            <sz val="10"/>
            <rFont val="宋体"/>
            <charset val="134"/>
          </rPr>
          <t>Administrator:
2月5日</t>
        </r>
      </text>
    </comment>
  </commentList>
</comments>
</file>

<file path=xl/sharedStrings.xml><?xml version="1.0" encoding="utf-8"?>
<sst xmlns="http://schemas.openxmlformats.org/spreadsheetml/2006/main" count="476" uniqueCount="276">
  <si>
    <t>组别</t>
  </si>
  <si>
    <t>序号</t>
  </si>
  <si>
    <t>人员</t>
  </si>
  <si>
    <t>客户简称</t>
  </si>
  <si>
    <t>销售产品名称/项目名称</t>
  </si>
  <si>
    <t>落地地点</t>
  </si>
  <si>
    <t>客户来源
（展会需注明）</t>
  </si>
  <si>
    <t>备注</t>
  </si>
  <si>
    <t>签约后且收到第一笔款后才算已签约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</si>
  <si>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</si>
  <si>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</si>
  <si>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</si>
  <si>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</si>
  <si>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</si>
  <si>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</si>
  <si>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</si>
  <si>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</si>
  <si>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</si>
  <si>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</si>
  <si>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</si>
  <si>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</si>
  <si>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傲翔组</t>
  </si>
  <si>
    <t>吴傲翔</t>
  </si>
  <si>
    <t>2月签有回款</t>
  </si>
  <si>
    <t>3月签并有回款</t>
  </si>
  <si>
    <t>个人月度合计：</t>
  </si>
  <si>
    <t>个人季度合计：</t>
  </si>
  <si>
    <t>个人年度合计：</t>
  </si>
  <si>
    <t>于永强</t>
  </si>
  <si>
    <t>胡佳新</t>
  </si>
  <si>
    <t>渠道 杨总</t>
  </si>
  <si>
    <t>沙盘赛车</t>
  </si>
  <si>
    <t>河南安阳西纸厂</t>
  </si>
  <si>
    <t>6月签并回款</t>
  </si>
  <si>
    <t>通州运动模型 巩总</t>
  </si>
  <si>
    <t>定制沙盘赛车</t>
  </si>
  <si>
    <t>北京城市绿心森林公园</t>
  </si>
  <si>
    <t>40w，预计九月份落地</t>
  </si>
  <si>
    <t>直客 赖总</t>
  </si>
  <si>
    <t>10人大空间买断</t>
  </si>
  <si>
    <t>四川眉山东坡芭拉拉综合潮玩馆</t>
  </si>
  <si>
    <t>月底会确定选品，25w</t>
  </si>
  <si>
    <t>赋助智能 杨经理</t>
  </si>
  <si>
    <t>标准影片</t>
  </si>
  <si>
    <t>国外</t>
  </si>
  <si>
    <t>需求1套标准影片，需要俄语和英文双语切换，定价8W，暂无后续</t>
  </si>
  <si>
    <t>浙江金华 徐总</t>
  </si>
  <si>
    <t>10人CS枪战</t>
  </si>
  <si>
    <t>浙江金华旱冰场</t>
  </si>
  <si>
    <t>大概是有2000平方米旱冰场，场地还没定下来，在打官司。等场地定下来之后会过来公司考察。</t>
  </si>
  <si>
    <t>北京汇融  张总</t>
  </si>
  <si>
    <t>青海球幕影院/4D巨幕影院</t>
  </si>
  <si>
    <t>老客户询单，暂时还没有进展。</t>
  </si>
  <si>
    <t>渠道 严总</t>
  </si>
  <si>
    <t>MR卡丁车</t>
  </si>
  <si>
    <t>广州番禺疯狂的麦咭官方体验馆</t>
  </si>
  <si>
    <t>前期沟通中</t>
  </si>
  <si>
    <t>直客 徐总</t>
  </si>
  <si>
    <t>吉林松原市中东新天地购物中心</t>
  </si>
  <si>
    <t>客户要落地一套飞行影院，广州展会来考察了，但时间比较赶没来得及过来我们展厅，展会上做了接待，因为场地问题项目要规划到年前了，后面会再过来考察。</t>
  </si>
  <si>
    <t>直客 杨总</t>
  </si>
  <si>
    <t>待定</t>
  </si>
  <si>
    <t>美国密西西比州</t>
  </si>
  <si>
    <t>客户在密西西比州准备开一个综合馆，有1/3想做潮玩，前期沟通中</t>
  </si>
  <si>
    <t>直客 李总</t>
  </si>
  <si>
    <t>飞行影院</t>
  </si>
  <si>
    <t>临洮祥瑞国际影城</t>
  </si>
  <si>
    <t>客户是一个影城，想做一套飞行影院做研学这块人群，前期沟通中</t>
  </si>
  <si>
    <t>超体软件 关总</t>
  </si>
  <si>
    <t>大空间租赁+CS买断</t>
  </si>
  <si>
    <t>佛山市儿童博物馆</t>
  </si>
  <si>
    <t>上周五接待了客户，博物馆有20台眼镜要新增内容，还是想要多一些互动类的，cs和枪神的游戏觉得还不错，下午还去了别家考察，持续跟进。</t>
  </si>
  <si>
    <t>客户是一个综合足浴馆，有200多平米要拿来做潮玩，给客户做了规划，这段时间客户在工地上忙着，忙完会找我沟通。</t>
  </si>
  <si>
    <t>美谊联 马丹娜</t>
  </si>
  <si>
    <t>元宇宙剧场</t>
  </si>
  <si>
    <t>保加利亚</t>
  </si>
  <si>
    <t>简单的询单，发了产品资料和报价，持续跟进</t>
  </si>
  <si>
    <t>马总，张总</t>
  </si>
  <si>
    <t>VR大空间/元宇宙剧场</t>
  </si>
  <si>
    <t>北京京北物美大世界</t>
  </si>
  <si>
    <t>目前在给客户做整馆规划，国威，龙程，卓远有参与其中，竞争还是比较大的</t>
  </si>
  <si>
    <t>渠道 卓远辉哥</t>
  </si>
  <si>
    <t>大空间</t>
  </si>
  <si>
    <t>四川省宜宾县兴文石海洞乡旅游区</t>
  </si>
  <si>
    <t>渠道  袁总</t>
  </si>
  <si>
    <t>整馆待定</t>
  </si>
  <si>
    <t>海南天涯海角景区</t>
  </si>
  <si>
    <t>直客 曹总</t>
  </si>
  <si>
    <t>大空间租赁</t>
  </si>
  <si>
    <t>景德镇市·未来VR玩家(景德镇宝龙广场店)</t>
  </si>
  <si>
    <t>商场场地，准备拿100平米空间做VR大空间，想做些大IP产品+我们的产品去做配套。</t>
  </si>
  <si>
    <t>投资方官总，运营魏总</t>
  </si>
  <si>
    <t>10人VR大空间/8人标准飞行影院</t>
  </si>
  <si>
    <t>中山密林水语度假村</t>
  </si>
  <si>
    <t>渠道 卓远</t>
  </si>
  <si>
    <t>MR博物馆</t>
  </si>
  <si>
    <t>福建三明科技馆</t>
  </si>
  <si>
    <t>个体投资 杜总</t>
  </si>
  <si>
    <t>大空间纯内容</t>
  </si>
  <si>
    <t>北京海淀华熙LIVE</t>
  </si>
  <si>
    <t>叶宣凯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</si>
  <si>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</si>
  <si>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</si>
  <si>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</si>
  <si>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</si>
  <si>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</si>
  <si>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</si>
  <si>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</si>
  <si>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</si>
  <si>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</si>
  <si>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</si>
  <si>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</si>
  <si>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</si>
  <si>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</si>
  <si>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</si>
  <si>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</si>
  <si>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</si>
  <si>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</si>
  <si>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</si>
  <si>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</si>
  <si>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</si>
  <si>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</si>
  <si>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小组月度合计：</t>
  </si>
  <si>
    <t>小组季度合计：</t>
  </si>
  <si>
    <t>小组年度合计：</t>
  </si>
  <si>
    <t>冉哥组</t>
  </si>
  <si>
    <t>冉钦</t>
  </si>
  <si>
    <t>云子组</t>
  </si>
  <si>
    <t>李俊莹</t>
  </si>
  <si>
    <t>长沙CG网</t>
  </si>
  <si>
    <t>内容合作</t>
  </si>
  <si>
    <t>协议分成合成</t>
  </si>
  <si>
    <t>4月已签。合同保底金额，纯分成形式。7月有回款</t>
  </si>
  <si>
    <t>万达宝贝王</t>
  </si>
  <si>
    <t>VR内容</t>
  </si>
  <si>
    <t>北京顺义红色文化体验馆</t>
  </si>
  <si>
    <t>报价内部过会，推迟到8月</t>
  </si>
  <si>
    <t>河南乐投城</t>
  </si>
  <si>
    <t>XR大空间</t>
  </si>
  <si>
    <t>河南滑县</t>
  </si>
  <si>
    <t>湖北石碱山柑橘农业展示厅</t>
  </si>
  <si>
    <t>内容定制</t>
  </si>
  <si>
    <t>湖北石碱山</t>
  </si>
  <si>
    <t>创世游乐</t>
  </si>
  <si>
    <t>MR卡丁车内容</t>
  </si>
  <si>
    <t>银川恒太城</t>
  </si>
  <si>
    <t>宁波港口博物馆</t>
  </si>
  <si>
    <t>飞行影院标准化影片+10人VR大空间</t>
  </si>
  <si>
    <t>宁波</t>
  </si>
  <si>
    <t>4月新增，推迟10月</t>
  </si>
  <si>
    <t>成都太平洋影院</t>
  </si>
  <si>
    <t>两套10人XR无限空间（联营）</t>
  </si>
  <si>
    <t>5月新增，推迟10月</t>
  </si>
  <si>
    <t>山东威海福鑫集团何总</t>
  </si>
  <si>
    <t>云浮景区</t>
  </si>
  <si>
    <t>XR大空间/MR卡丁车</t>
  </si>
  <si>
    <t>云浮市区</t>
  </si>
  <si>
    <t>保定雄安辛玛森动物乐园</t>
  </si>
  <si>
    <t>河北保定雄安市</t>
  </si>
  <si>
    <t>落地位置有变</t>
  </si>
  <si>
    <t>福建陈总</t>
  </si>
  <si>
    <t>新疆</t>
  </si>
  <si>
    <t>项目考察中</t>
  </si>
  <si>
    <t>米可·米吉亲子乐园</t>
  </si>
  <si>
    <t>暂定</t>
  </si>
  <si>
    <t>合适场地考察中</t>
  </si>
  <si>
    <t>福州万达宝贝王</t>
  </si>
  <si>
    <t>四川省广元市剑门关景区</t>
  </si>
  <si>
    <t>飞行影院+内容定制</t>
  </si>
  <si>
    <t>四川广元市</t>
  </si>
  <si>
    <t>专项资金申请中，预计7月，推迟10月</t>
  </si>
  <si>
    <t>黑龙江富锦市乐齐冒险世界主题乐园</t>
  </si>
  <si>
    <t>整馆</t>
  </si>
  <si>
    <t>黑龙江富锦市</t>
  </si>
  <si>
    <t>前期设计方案沟通</t>
  </si>
  <si>
    <t>广州励丰(福建项目）</t>
  </si>
  <si>
    <t>福州</t>
  </si>
  <si>
    <t>配合报价招标中</t>
  </si>
  <si>
    <t>内蒙自然馆陈总</t>
  </si>
  <si>
    <t>VR洪灾类内容</t>
  </si>
  <si>
    <t>内蒙古阴山北麓草原生态野外科学观测站</t>
  </si>
  <si>
    <t>青岛嗨贝天地儿童乐园</t>
  </si>
  <si>
    <t>西安嘻戏哩室内场</t>
  </si>
  <si>
    <t>河南杨总</t>
  </si>
  <si>
    <t>广州张总</t>
  </si>
  <si>
    <t>内蒙古天幕文化</t>
  </si>
  <si>
    <t>XR无限空间</t>
  </si>
  <si>
    <t>河南侯总</t>
  </si>
  <si>
    <t>邯郸暂定</t>
  </si>
  <si>
    <t>智崴集团</t>
  </si>
  <si>
    <t>48人末日飓风</t>
  </si>
  <si>
    <t>西安大唐不夜城项目</t>
  </si>
  <si>
    <t>渠道：赋助智能保总</t>
  </si>
  <si>
    <t>吉林长春基地刘女士</t>
  </si>
  <si>
    <t>丢单-360000</t>
  </si>
  <si>
    <t>佛山科技馆</t>
  </si>
  <si>
    <t>佛山</t>
  </si>
  <si>
    <t>不符合公司合作模式
丢单-138000</t>
  </si>
  <si>
    <t>部门月度合计：</t>
  </si>
  <si>
    <t>部门季度合计：</t>
  </si>
  <si>
    <t>部门年度合计：</t>
  </si>
  <si>
    <t>已签约统计数据表</t>
  </si>
  <si>
    <t>总计</t>
  </si>
  <si>
    <t>勇哥组</t>
  </si>
  <si>
    <t>庄志勇</t>
  </si>
  <si>
    <t>曾锦鹏</t>
  </si>
  <si>
    <t>/</t>
  </si>
  <si>
    <t>李敏健</t>
  </si>
  <si>
    <t>毕亚吉</t>
  </si>
  <si>
    <t>吴祖陈</t>
  </si>
  <si>
    <t>黄梓毅</t>
  </si>
  <si>
    <t>林国斌</t>
  </si>
  <si>
    <t>陈晓勇</t>
  </si>
  <si>
    <t>李雷</t>
  </si>
  <si>
    <t>梁秋霞</t>
  </si>
  <si>
    <t>李菁萍</t>
  </si>
  <si>
    <t>意林组</t>
  </si>
  <si>
    <t>杨意林</t>
  </si>
  <si>
    <t>杨第洲</t>
  </si>
  <si>
    <t>邬晓娟</t>
  </si>
  <si>
    <t>钟嫄</t>
  </si>
  <si>
    <t>王安祥组</t>
  </si>
  <si>
    <t>王安祥</t>
  </si>
  <si>
    <t>外贸组</t>
  </si>
  <si>
    <t>彭绍佳</t>
  </si>
  <si>
    <t>小组合计</t>
  </si>
  <si>
    <t>超元力销售奖惩:</t>
  </si>
  <si>
    <t>月度销冠且达80万奖励1000，季度销冠且达240万奖励2000，年度销冠且达800万奖励1万</t>
  </si>
  <si>
    <t>月度和季度业绩对赌</t>
  </si>
  <si>
    <t>破蛋奖：前2个月能开单，200</t>
  </si>
  <si>
    <t>新人达标奖：前2个月完成转正指标，600</t>
  </si>
  <si>
    <t>新人业绩奖：0-6月任何月完成30万，500</t>
  </si>
  <si>
    <t>转正指标：10万利润或28万业绩</t>
  </si>
  <si>
    <t>惩罚：当月未达月度目标，扣除当月业绩提成20%</t>
  </si>
  <si>
    <t>2026年回款数据汇总</t>
  </si>
  <si>
    <t>姓名</t>
  </si>
  <si>
    <t>收款主体</t>
  </si>
  <si>
    <t>付款主体</t>
  </si>
  <si>
    <t>产品</t>
  </si>
  <si>
    <t>合同日期</t>
  </si>
  <si>
    <t>合同总价</t>
  </si>
  <si>
    <t>居间费</t>
  </si>
  <si>
    <t>已回款-提成口（26年以前）</t>
  </si>
  <si>
    <t>已回款-提成口径（26年）</t>
  </si>
  <si>
    <t>已回款-提成口径总额</t>
  </si>
  <si>
    <t>待回款额</t>
  </si>
  <si>
    <t>已开发票金额</t>
  </si>
  <si>
    <t>已开票未回款</t>
  </si>
  <si>
    <t>回款比例</t>
  </si>
  <si>
    <t>税/运费</t>
  </si>
  <si>
    <t>预计剩余回款时间及金额</t>
  </si>
  <si>
    <t>已回款-业绩口径(26年)</t>
  </si>
  <si>
    <t>个人小计：</t>
  </si>
  <si>
    <t>部门总计：</t>
  </si>
  <si>
    <t>客户名称</t>
  </si>
  <si>
    <t>客户来源</t>
  </si>
  <si>
    <t>项目状态</t>
  </si>
  <si>
    <t>回款状态</t>
  </si>
  <si>
    <t>跟进情况</t>
  </si>
  <si>
    <t>签约日期</t>
  </si>
  <si>
    <t>签约金额</t>
  </si>
  <si>
    <t>回款日期</t>
  </si>
  <si>
    <t>回款金额</t>
  </si>
  <si>
    <t>税费</t>
  </si>
  <si>
    <t>签约年月</t>
  </si>
  <si>
    <t>签约季度</t>
  </si>
  <si>
    <t>签约年度</t>
  </si>
  <si>
    <t>回款年月</t>
  </si>
  <si>
    <t>回款季度</t>
  </si>
  <si>
    <t>回款年度</t>
  </si>
  <si>
    <t>状态</t>
  </si>
  <si>
    <t>广州德纳智谷科技有限公司</t>
  </si>
  <si>
    <t>北京汇融视景科技有限公司</t>
  </si>
  <si>
    <t>甘肃科技馆影片</t>
  </si>
  <si>
    <t>自拓</t>
  </si>
  <si>
    <t>已签约</t>
  </si>
</sst>
</file>

<file path=xl/styles.xml><?xml version="1.0" encoding="utf-8"?>
<styleSheet xmlns="http://schemas.openxmlformats.org/spreadsheetml/2006/main">
  <numFmts count="11">
    <numFmt numFmtId="164" formatCode="yyyy/m/d;@"/>
    <numFmt numFmtId="165" formatCode="_ * #,##0.0_ ;_ * \-#,##0.0_ ;_ * &quot;-&quot;?_ ;_ @_ "/>
    <numFmt numFmtId="166" formatCode="yyyy&quot;-&quot;mm&quot;&quot;"/>
    <numFmt numFmtId="167" formatCode="yyyy&quot;年&quot;m&quot;月&quot;;@"/>
    <numFmt numFmtId="168" formatCode="yyyy&quot;年&quot;"/>
    <numFmt numFmtId="169" formatCode="#,##0.0_ "/>
    <numFmt numFmtId="170" formatCode="0.0_ "/>
    <numFmt numFmtId="171" formatCode="#,##0_ "/>
    <numFmt numFmtId="172" formatCode="0.0%"/>
    <numFmt numFmtId="173" formatCode="_ * #,##0.00_ ;_ * \-#,##0.00_ ;_ * &quot;-&quot;??_ ;_ @_ "/>
    <numFmt numFmtId="174" formatCode="_(* #,##0.0_);_(* \(#,##0.0\);_(* &quot;-&quot;??_);_(@_)"/>
  </numFmts>
  <fonts count="61">
    <font>
      <name val="宋体"/>
      <charset val="134"/>
      <sz val="11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宋体"/>
      <charset val="134"/>
      <b val="1"/>
      <sz val="12"/>
    </font>
    <font>
      <name val="宋体"/>
      <charset val="134"/>
      <b val="1"/>
      <color rgb="FFC00000"/>
      <sz val="11"/>
    </font>
    <font>
      <name val="黑体"/>
      <charset val="134"/>
      <color rgb="FF000000"/>
      <sz val="11"/>
    </font>
    <font>
      <name val="黑体"/>
      <charset val="134"/>
      <b val="1"/>
      <color rgb="FFC91D32"/>
      <sz val="11"/>
    </font>
    <font>
      <name val="黑体"/>
      <charset val="134"/>
      <color rgb="FF000000"/>
      <sz val="10"/>
    </font>
    <font>
      <name val="黑体"/>
      <charset val="134"/>
      <b val="1"/>
      <color rgb="FF000000"/>
      <sz val="10"/>
    </font>
    <font>
      <name val="黑体"/>
      <charset val="134"/>
      <b val="1"/>
      <sz val="10"/>
    </font>
    <font>
      <name val="宋体"/>
      <charset val="134"/>
      <b val="1"/>
      <sz val="11"/>
    </font>
    <font>
      <name val="黑体"/>
      <charset val="134"/>
      <sz val="10"/>
    </font>
    <font>
      <name val="宋体"/>
      <charset val="134"/>
      <sz val="10"/>
    </font>
    <font>
      <name val="江城正义体 300W"/>
      <charset val="134"/>
      <color rgb="FF000000"/>
      <sz val="11"/>
    </font>
    <font>
      <name val="阿里巴巴普惠体 2.0 55 Regular"/>
      <charset val="134"/>
      <color rgb="FF000000"/>
      <sz val="11"/>
    </font>
    <font>
      <name val="黑体"/>
      <charset val="134"/>
      <color rgb="FF000000"/>
      <sz val="20"/>
    </font>
    <font>
      <name val="黑体"/>
      <charset val="134"/>
      <b val="1"/>
      <color rgb="FF000000"/>
      <sz val="11"/>
    </font>
    <font>
      <name val="黑体"/>
      <charset val="134"/>
      <color rgb="FFC00000"/>
      <sz val="10"/>
    </font>
    <font>
      <name val="黑体"/>
      <charset val="134"/>
      <b val="1"/>
      <color rgb="FFFFC000"/>
      <sz val="10"/>
    </font>
    <font>
      <name val="黑体"/>
      <charset val="134"/>
      <color rgb="FFFFC000"/>
      <sz val="10"/>
    </font>
    <font>
      <name val="黑体"/>
      <charset val="134"/>
      <color rgb="FFD9D9D9"/>
      <sz val="10"/>
    </font>
    <font>
      <name val="微软雅黑"/>
      <charset val="134"/>
      <color rgb="FF000000"/>
      <sz val="10"/>
    </font>
    <font>
      <name val="微软雅黑"/>
      <charset val="134"/>
      <b val="1"/>
      <color rgb="FFC00000"/>
      <sz val="10"/>
    </font>
    <font>
      <name val="微软雅黑"/>
      <charset val="134"/>
      <b val="1"/>
      <sz val="14"/>
    </font>
    <font>
      <name val="微软雅黑"/>
      <charset val="134"/>
      <b val="1"/>
      <sz val="10"/>
    </font>
    <font>
      <name val="黑体"/>
      <charset val="134"/>
      <b val="1"/>
      <color rgb="FF000000"/>
      <sz val="26"/>
    </font>
    <font>
      <name val="黑体"/>
      <charset val="134"/>
      <b val="1"/>
      <color rgb="FFC00000"/>
      <sz val="10"/>
    </font>
    <font>
      <name val="微软雅黑"/>
      <charset val="134"/>
      <b val="1"/>
      <color rgb="FFFFC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黑体"/>
      <charset val="134"/>
      <color rgb="FFF2BA02"/>
      <sz val="10"/>
    </font>
    <font>
      <name val="黑体"/>
      <charset val="134"/>
      <b val="1"/>
      <color theme="1"/>
      <sz val="10"/>
    </font>
    <font>
      <name val="黑体"/>
      <charset val="134"/>
      <b val="1"/>
      <color rgb="FF1F2329"/>
      <sz val="26"/>
    </font>
    <font>
      <name val="黑体"/>
      <charset val="134"/>
      <color rgb="FFF54A45"/>
      <sz val="10"/>
    </font>
    <font>
      <name val="黑体"/>
      <charset val="134"/>
      <b val="1"/>
      <color rgb="FFF54A45"/>
      <sz val="10"/>
    </font>
    <font>
      <name val="黑体"/>
      <charset val="134"/>
      <b val="1"/>
      <color rgb="FFFFC60A"/>
      <sz val="26"/>
    </font>
    <font>
      <name val="黑体"/>
      <charset val="134"/>
      <color rgb="FFFFC60A"/>
      <sz val="10"/>
    </font>
    <font>
      <name val="黑体"/>
      <charset val="134"/>
      <b val="1"/>
      <color rgb="FFFFC60A"/>
      <sz val="10"/>
    </font>
    <font>
      <name val="黑体"/>
      <charset val="134"/>
      <color rgb="FF1F2329"/>
      <sz val="10"/>
    </font>
    <font>
      <name val="黑体"/>
      <charset val="134"/>
      <b val="1"/>
      <color rgb="FFF2BA02"/>
      <sz val="10"/>
    </font>
    <font>
      <name val="黑体"/>
      <charset val="134"/>
      <color rgb="FF373C43"/>
      <sz val="10"/>
    </font>
    <font>
      <name val="黑体"/>
      <charset val="134"/>
      <b val="1"/>
      <color rgb="FF1F2329"/>
      <sz val="10"/>
    </font>
  </fonts>
  <fills count="42">
    <fill>
      <patternFill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38ABA6"/>
        <bgColor indexed="64"/>
      </patternFill>
    </fill>
    <fill>
      <patternFill patternType="solid">
        <fgColor rgb="FFE4F7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1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12" applyAlignment="1">
      <alignment vertical="center"/>
    </xf>
    <xf numFmtId="0" fontId="35" fillId="0" borderId="12" applyAlignment="1">
      <alignment vertical="center"/>
    </xf>
    <xf numFmtId="0" fontId="36" fillId="0" borderId="13" applyAlignment="1">
      <alignment vertical="center"/>
    </xf>
    <xf numFmtId="0" fontId="36" fillId="0" borderId="0" applyAlignment="1">
      <alignment vertical="center"/>
    </xf>
    <xf numFmtId="0" fontId="37" fillId="13" borderId="14" applyAlignment="1">
      <alignment vertical="center"/>
    </xf>
    <xf numFmtId="0" fontId="38" fillId="7" borderId="15" applyAlignment="1">
      <alignment vertical="center"/>
    </xf>
    <xf numFmtId="0" fontId="39" fillId="7" borderId="14" applyAlignment="1">
      <alignment vertical="center"/>
    </xf>
    <xf numFmtId="0" fontId="40" fillId="14" borderId="16" applyAlignment="1">
      <alignment vertical="center"/>
    </xf>
    <xf numFmtId="0" fontId="41" fillId="0" borderId="17" applyAlignment="1">
      <alignment vertical="center"/>
    </xf>
    <xf numFmtId="0" fontId="42" fillId="0" borderId="18" applyAlignment="1">
      <alignment vertical="center"/>
    </xf>
    <xf numFmtId="0" fontId="43" fillId="15" borderId="0" applyAlignment="1">
      <alignment vertical="center"/>
    </xf>
    <xf numFmtId="0" fontId="44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7" fillId="19" borderId="0" applyAlignment="1">
      <alignment vertical="center"/>
    </xf>
    <xf numFmtId="0" fontId="47" fillId="20" borderId="0" applyAlignment="1">
      <alignment vertical="center"/>
    </xf>
    <xf numFmtId="0" fontId="46" fillId="21" borderId="0" applyAlignment="1">
      <alignment vertical="center"/>
    </xf>
    <xf numFmtId="0" fontId="46" fillId="22" borderId="0" applyAlignment="1">
      <alignment vertical="center"/>
    </xf>
    <xf numFmtId="0" fontId="47" fillId="23" borderId="0" applyAlignment="1">
      <alignment vertical="center"/>
    </xf>
    <xf numFmtId="0" fontId="47" fillId="24" borderId="0" applyAlignment="1">
      <alignment vertical="center"/>
    </xf>
    <xf numFmtId="0" fontId="46" fillId="25" borderId="0" applyAlignment="1">
      <alignment vertical="center"/>
    </xf>
    <xf numFmtId="0" fontId="46" fillId="26" borderId="0" applyAlignment="1">
      <alignment vertical="center"/>
    </xf>
    <xf numFmtId="0" fontId="47" fillId="27" borderId="0" applyAlignment="1">
      <alignment vertical="center"/>
    </xf>
    <xf numFmtId="0" fontId="47" fillId="28" borderId="0" applyAlignment="1">
      <alignment vertical="center"/>
    </xf>
    <xf numFmtId="0" fontId="46" fillId="29" borderId="0" applyAlignment="1">
      <alignment vertical="center"/>
    </xf>
    <xf numFmtId="0" fontId="46" fillId="30" borderId="0" applyAlignment="1">
      <alignment vertical="center"/>
    </xf>
    <xf numFmtId="0" fontId="47" fillId="31" borderId="0" applyAlignment="1">
      <alignment vertical="center"/>
    </xf>
    <xf numFmtId="0" fontId="47" fillId="32" borderId="0" applyAlignment="1">
      <alignment vertical="center"/>
    </xf>
    <xf numFmtId="0" fontId="46" fillId="33" borderId="0" applyAlignment="1">
      <alignment vertical="center"/>
    </xf>
    <xf numFmtId="0" fontId="46" fillId="34" borderId="0" applyAlignment="1">
      <alignment vertical="center"/>
    </xf>
    <xf numFmtId="0" fontId="47" fillId="35" borderId="0" applyAlignment="1">
      <alignment vertical="center"/>
    </xf>
    <xf numFmtId="0" fontId="47" fillId="36" borderId="0" applyAlignment="1">
      <alignment vertical="center"/>
    </xf>
    <xf numFmtId="0" fontId="46" fillId="37" borderId="0" applyAlignment="1">
      <alignment vertical="center"/>
    </xf>
    <xf numFmtId="0" fontId="46" fillId="38" borderId="0" applyAlignment="1">
      <alignment vertical="center"/>
    </xf>
    <xf numFmtId="0" fontId="47" fillId="39" borderId="0" applyAlignment="1">
      <alignment vertical="center"/>
    </xf>
    <xf numFmtId="0" fontId="47" fillId="40" borderId="0" applyAlignment="1">
      <alignment vertical="center"/>
    </xf>
    <xf numFmtId="0" fontId="46" fillId="41" borderId="0" applyAlignment="1">
      <alignment vertical="center"/>
    </xf>
  </cellStyleXfs>
  <cellXfs count="2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9" fontId="0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/>
    </xf>
    <xf numFmtId="170" fontId="7" fillId="0" borderId="0" applyAlignment="1" pivotButton="0" quotePrefix="0" xfId="0">
      <alignment horizontal="center" vertical="center"/>
    </xf>
    <xf numFmtId="171" fontId="7" fillId="0" borderId="0" applyAlignment="1" pivotButton="0" quotePrefix="0" xfId="0">
      <alignment horizontal="center" vertical="center"/>
    </xf>
    <xf numFmtId="169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0">
      <alignment horizontal="center" vertical="center"/>
    </xf>
    <xf numFmtId="9" fontId="7" fillId="0" borderId="0" applyAlignment="1" pivotButton="0" quotePrefix="0" xfId="0">
      <alignment horizontal="center" vertical="center"/>
    </xf>
    <xf numFmtId="9" fontId="7" fillId="0" borderId="0" applyAlignment="1" pivotButton="0" quotePrefix="0" xfId="0">
      <alignment horizontal="center" vertical="center" wrapText="1"/>
    </xf>
    <xf numFmtId="171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71" fontId="8" fillId="0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70" fontId="9" fillId="4" borderId="2" applyAlignment="1" pivotButton="0" quotePrefix="0" xfId="0">
      <alignment horizontal="center" vertical="center" wrapText="1"/>
    </xf>
    <xf numFmtId="171" fontId="9" fillId="4" borderId="2" applyAlignment="1" pivotButton="0" quotePrefix="0" xfId="0">
      <alignment horizontal="center" vertical="center" wrapText="1"/>
    </xf>
    <xf numFmtId="169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172" fontId="9" fillId="4" borderId="2" applyAlignment="1" pivotButton="0" quotePrefix="0" xfId="0">
      <alignment horizontal="center" vertical="center" wrapText="1"/>
    </xf>
    <xf numFmtId="9" fontId="9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vertical="center" wrapText="1"/>
    </xf>
    <xf numFmtId="169" fontId="11" fillId="0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3" fontId="11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3" fontId="12" fillId="0" borderId="2" applyAlignment="1" pivotButton="0" quotePrefix="0" xfId="0">
      <alignment horizontal="left" vertical="center" wrapText="1"/>
    </xf>
    <xf numFmtId="3" fontId="12" fillId="0" borderId="2" applyAlignment="1" pivotButton="0" quotePrefix="0" xfId="0">
      <alignment horizontal="center" vertical="center" wrapText="1"/>
    </xf>
    <xf numFmtId="169" fontId="9" fillId="0" borderId="2" applyAlignment="1" pivotButton="0" quotePrefix="0" xfId="0">
      <alignment horizontal="center" vertical="center" wrapText="1"/>
    </xf>
    <xf numFmtId="169" fontId="9" fillId="0" borderId="2" applyAlignment="1" pivotButton="0" quotePrefix="0" xfId="0">
      <alignment horizontal="right" vertical="center" wrapText="1"/>
    </xf>
    <xf numFmtId="167" fontId="9" fillId="0" borderId="2" applyAlignment="1" pivotButton="0" quotePrefix="0" xfId="0">
      <alignment horizontal="right" vertical="center" wrapText="1"/>
    </xf>
    <xf numFmtId="3" fontId="9" fillId="0" borderId="2" applyAlignment="1" pivotButton="0" quotePrefix="0" xfId="0">
      <alignment horizontal="center" vertical="center" wrapText="1"/>
    </xf>
    <xf numFmtId="10" fontId="9" fillId="0" borderId="2" applyAlignment="1" pivotButton="0" quotePrefix="0" xfId="0">
      <alignment horizontal="center" vertical="center" wrapText="1"/>
    </xf>
    <xf numFmtId="3" fontId="9" fillId="0" borderId="2" applyAlignment="1" pivotButton="0" quotePrefix="0" xfId="0">
      <alignment horizontal="left" vertical="center" wrapText="1"/>
    </xf>
    <xf numFmtId="169" fontId="7" fillId="0" borderId="2" applyAlignment="1" pivotButton="0" quotePrefix="0" xfId="0">
      <alignment horizontal="center" vertical="center" wrapText="1"/>
    </xf>
    <xf numFmtId="167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172" fontId="7" fillId="0" borderId="2" applyAlignment="1" pivotButton="0" quotePrefix="0" xfId="0">
      <alignment horizontal="center" vertical="center" wrapText="1"/>
    </xf>
    <xf numFmtId="169" fontId="7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9" fontId="9" fillId="0" borderId="2" applyAlignment="1" pivotButton="0" quotePrefix="0" xfId="0">
      <alignment horizontal="right" vertical="center" wrapText="1"/>
    </xf>
    <xf numFmtId="3" fontId="0" fillId="0" borderId="2" applyAlignment="1" pivotButton="0" quotePrefix="0" xfId="0">
      <alignment vertical="center" wrapText="1"/>
    </xf>
    <xf numFmtId="10" fontId="0" fillId="0" borderId="2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3" fillId="5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top"/>
    </xf>
    <xf numFmtId="0" fontId="16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6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71" fontId="5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19" fillId="7" borderId="0" applyAlignment="1" pivotButton="0" quotePrefix="0" xfId="0">
      <alignment horizontal="center" vertical="center" wrapText="1"/>
    </xf>
    <xf numFmtId="0" fontId="20" fillId="7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173" fontId="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2" fillId="0" borderId="6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25" fillId="0" borderId="2" applyAlignment="1" pivotButton="0" quotePrefix="0" xfId="0">
      <alignment horizontal="center" vertical="center" textRotation="255" wrapTex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171" fontId="11" fillId="0" borderId="2" applyAlignment="1" pivotButton="0" quotePrefix="0" xfId="0">
      <alignment horizontal="left" vertical="center" wrapText="1"/>
    </xf>
    <xf numFmtId="3" fontId="9" fillId="0" borderId="2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 wrapText="1"/>
    </xf>
    <xf numFmtId="3" fontId="24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left" vertical="center" wrapText="1"/>
    </xf>
    <xf numFmtId="3" fontId="22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right" vertical="center" wrapText="1"/>
    </xf>
    <xf numFmtId="3" fontId="24" fillId="0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/>
    </xf>
    <xf numFmtId="3" fontId="2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26" fillId="9" borderId="2" applyAlignment="1" pivotButton="0" quotePrefix="0" xfId="0">
      <alignment horizontal="right" vertical="center" wrapText="1"/>
    </xf>
    <xf numFmtId="0" fontId="9" fillId="0" borderId="2" applyAlignment="1" pivotButton="0" quotePrefix="0" xfId="0">
      <alignment horizontal="right" vertical="center" wrapText="1"/>
    </xf>
    <xf numFmtId="0" fontId="11" fillId="0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right" vertical="center" wrapText="1"/>
    </xf>
    <xf numFmtId="0" fontId="19" fillId="0" borderId="2" applyAlignment="1" pivotButton="0" quotePrefix="0" xfId="0">
      <alignment horizontal="left" vertical="center" wrapText="1"/>
    </xf>
    <xf numFmtId="3" fontId="27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right" vertical="center" wrapText="1"/>
    </xf>
    <xf numFmtId="0" fontId="19" fillId="0" borderId="0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26" fillId="10" borderId="2" applyAlignment="1" pivotButton="0" quotePrefix="0" xfId="0">
      <alignment horizontal="right" vertical="center" wrapText="1"/>
    </xf>
    <xf numFmtId="0" fontId="17" fillId="10" borderId="2" applyAlignment="1" pivotButton="0" quotePrefix="0" xfId="0">
      <alignment horizontal="left" vertical="center" wrapText="1"/>
    </xf>
    <xf numFmtId="3" fontId="24" fillId="10" borderId="2" applyAlignment="1" pivotButton="0" quotePrefix="0" xfId="0">
      <alignment horizontal="center" vertical="center" wrapText="1"/>
    </xf>
    <xf numFmtId="3" fontId="22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right" vertical="center" wrapText="1"/>
    </xf>
    <xf numFmtId="3" fontId="24" fillId="11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right" vertical="center" wrapText="1"/>
    </xf>
    <xf numFmtId="3" fontId="24" fillId="4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3" fontId="22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center" vertical="center" wrapText="1"/>
    </xf>
    <xf numFmtId="171" fontId="19" fillId="7" borderId="2" applyAlignment="1" pivotButton="0" quotePrefix="0" xfId="0">
      <alignment horizontal="center" vertical="center" wrapText="1"/>
    </xf>
    <xf numFmtId="0" fontId="24" fillId="4" borderId="2" applyAlignment="1" pivotButton="0" quotePrefix="0" xfId="0">
      <alignment horizontal="right" vertical="center" wrapText="1"/>
    </xf>
    <xf numFmtId="173" fontId="22" fillId="0" borderId="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71" fontId="7" fillId="0" borderId="2" applyAlignment="1" pivotButton="0" quotePrefix="0" xfId="0">
      <alignment horizontal="left" vertical="center" wrapText="1"/>
    </xf>
    <xf numFmtId="174" fontId="8" fillId="0" borderId="2" applyAlignment="1" pivotButton="0" quotePrefix="0" xfId="0">
      <alignment horizontal="center" vertical="center" wrapText="1"/>
    </xf>
    <xf numFmtId="0" fontId="0" fillId="0" borderId="10" pivotButton="0" quotePrefix="0" xfId="0"/>
    <xf numFmtId="0" fontId="49" fillId="0" borderId="2" applyAlignment="1" pivotButton="0" quotePrefix="0" xfId="0">
      <alignment horizontal="center" vertical="center" wrapText="1"/>
    </xf>
    <xf numFmtId="171" fontId="49" fillId="0" borderId="2" applyAlignment="1" pivotButton="0" quotePrefix="0" xfId="0">
      <alignment horizontal="left" vertical="center" wrapText="1"/>
    </xf>
    <xf numFmtId="174" fontId="24" fillId="0" borderId="2" applyAlignment="1" pivotButton="0" quotePrefix="0" xfId="0">
      <alignment horizontal="center" vertical="center" wrapText="1"/>
    </xf>
    <xf numFmtId="174" fontId="50" fillId="0" borderId="2" applyAlignment="1" pivotButton="0" quotePrefix="0" xfId="0">
      <alignment horizontal="center" vertical="center" wrapText="1"/>
    </xf>
    <xf numFmtId="174" fontId="24" fillId="4" borderId="2" applyAlignment="1" pivotButton="0" quotePrefix="0" xfId="0">
      <alignment horizontal="center" vertical="center" wrapText="1"/>
    </xf>
    <xf numFmtId="0" fontId="51" fillId="0" borderId="2" applyAlignment="1" pivotButton="0" quotePrefix="0" xfId="0">
      <alignment horizontal="center" vertical="center" textRotation="255" wrapText="1"/>
    </xf>
    <xf numFmtId="171" fontId="17" fillId="0" borderId="2" applyAlignment="1" pivotButton="0" quotePrefix="0" xfId="0">
      <alignment horizontal="left" vertical="center" wrapText="1"/>
    </xf>
    <xf numFmtId="174" fontId="26" fillId="0" borderId="2" applyAlignment="1" pivotButton="0" quotePrefix="0" xfId="0">
      <alignment horizontal="center" vertical="center" wrapText="1"/>
    </xf>
    <xf numFmtId="0" fontId="52" fillId="0" borderId="2" applyAlignment="1" pivotButton="0" quotePrefix="0" xfId="0">
      <alignment horizontal="center" vertical="center" wrapText="1"/>
    </xf>
    <xf numFmtId="174" fontId="53" fillId="0" borderId="2" applyAlignment="1" pivotButton="0" quotePrefix="0" xfId="0">
      <alignment horizontal="center" vertical="center" wrapText="1"/>
    </xf>
    <xf numFmtId="0" fontId="55" fillId="0" borderId="2" applyAlignment="1" pivotButton="0" quotePrefix="0" xfId="0">
      <alignment horizontal="center" vertical="center" wrapText="1"/>
    </xf>
    <xf numFmtId="171" fontId="55" fillId="0" borderId="2" applyAlignment="1" pivotButton="0" quotePrefix="0" xfId="0">
      <alignment horizontal="left" vertical="center" wrapText="1"/>
    </xf>
    <xf numFmtId="174" fontId="56" fillId="0" borderId="2" applyAlignment="1" pivotButton="0" quotePrefix="0" xfId="0">
      <alignment horizontal="center" vertical="center" wrapText="1"/>
    </xf>
    <xf numFmtId="0" fontId="57" fillId="0" borderId="2" applyAlignment="1" pivotButton="0" quotePrefix="0" xfId="0">
      <alignment horizontal="center" vertical="center" wrapText="1"/>
    </xf>
    <xf numFmtId="174" fontId="18" fillId="0" borderId="2" applyAlignment="1" pivotButton="0" quotePrefix="0" xfId="0">
      <alignment horizontal="center" vertical="center" wrapText="1"/>
    </xf>
    <xf numFmtId="171" fontId="19" fillId="0" borderId="2" applyAlignment="1" pivotButton="0" quotePrefix="0" xfId="0">
      <alignment horizontal="left" vertical="center" wrapText="1"/>
    </xf>
    <xf numFmtId="174" fontId="58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174" fontId="60" fillId="0" borderId="2" applyAlignment="1" pivotButton="0" quotePrefix="0" xfId="0">
      <alignment horizontal="center" vertical="center" wrapText="1"/>
    </xf>
    <xf numFmtId="171" fontId="57" fillId="0" borderId="2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71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7" fontId="7" fillId="0" borderId="0" applyAlignment="1" pivotButton="0" quotePrefix="0" xfId="0">
      <alignment horizontal="center" vertical="center"/>
    </xf>
    <xf numFmtId="170" fontId="7" fillId="0" borderId="0" applyAlignment="1" pivotButton="0" quotePrefix="0" xfId="0">
      <alignment horizontal="center" vertical="center"/>
    </xf>
    <xf numFmtId="171" fontId="7" fillId="0" borderId="0" applyAlignment="1" pivotButton="0" quotePrefix="0" xfId="0">
      <alignment horizontal="center" vertical="center"/>
    </xf>
    <xf numFmtId="169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0">
      <alignment horizontal="center" vertical="center"/>
    </xf>
    <xf numFmtId="171" fontId="7" fillId="0" borderId="0" applyAlignment="1" pivotButton="0" quotePrefix="0" xfId="0">
      <alignment horizontal="center" vertical="center" wrapText="1"/>
    </xf>
    <xf numFmtId="171" fontId="8" fillId="0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70" fontId="9" fillId="4" borderId="2" applyAlignment="1" pivotButton="0" quotePrefix="0" xfId="0">
      <alignment horizontal="center" vertical="center" wrapText="1"/>
    </xf>
    <xf numFmtId="171" fontId="9" fillId="4" borderId="2" applyAlignment="1" pivotButton="0" quotePrefix="0" xfId="0">
      <alignment horizontal="center" vertical="center" wrapText="1"/>
    </xf>
    <xf numFmtId="169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172" fontId="9" fillId="4" borderId="2" applyAlignment="1" pivotButton="0" quotePrefix="0" xfId="0">
      <alignment horizontal="center" vertical="center" wrapText="1"/>
    </xf>
    <xf numFmtId="169" fontId="0" fillId="0" borderId="0" applyAlignment="1" pivotButton="0" quotePrefix="0" xfId="0">
      <alignment horizontal="center" vertical="center"/>
    </xf>
    <xf numFmtId="169" fontId="11" fillId="0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9" fontId="9" fillId="0" borderId="2" applyAlignment="1" pivotButton="0" quotePrefix="0" xfId="0">
      <alignment horizontal="center" vertical="center" wrapText="1"/>
    </xf>
    <xf numFmtId="169" fontId="9" fillId="0" borderId="2" applyAlignment="1" pivotButton="0" quotePrefix="0" xfId="0">
      <alignment horizontal="right" vertical="center" wrapText="1"/>
    </xf>
    <xf numFmtId="167" fontId="9" fillId="0" borderId="2" applyAlignment="1" pivotButton="0" quotePrefix="0" xfId="0">
      <alignment horizontal="right" vertical="center" wrapText="1"/>
    </xf>
    <xf numFmtId="169" fontId="5" fillId="0" borderId="0" applyAlignment="1" pivotButton="0" quotePrefix="0" xfId="0">
      <alignment horizontal="center" vertical="center"/>
    </xf>
    <xf numFmtId="169" fontId="7" fillId="0" borderId="2" applyAlignment="1" pivotButton="0" quotePrefix="0" xfId="0">
      <alignment horizontal="center" vertical="center" wrapText="1"/>
    </xf>
    <xf numFmtId="167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172" fontId="7" fillId="0" borderId="2" applyAlignment="1" pivotButton="0" quotePrefix="0" xfId="0">
      <alignment horizontal="center" vertical="center" wrapText="1"/>
    </xf>
    <xf numFmtId="169" fontId="7" fillId="0" borderId="2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numFmt numFmtId="0" formatCode="General"/>
      <fill>
        <patternFill patternType="solid">
          <bgColor rgb="FFFADADE"/>
        </patternFill>
      </fill>
    </dxf>
    <dxf>
      <fill>
        <patternFill patternType="solid">
          <bgColor rgb="FFFADADE"/>
        </patternFill>
      </fill>
    </dxf>
    <dxf>
      <font>
        <color rgb="FFC00000"/>
      </font>
    </dxf>
    <dxf>
      <fill>
        <patternFill patternType="solid">
          <bgColor rgb="FFFF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FFFF"/>
        </patternFill>
      </fill>
      <border>
        <left/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 val="1"/>
        <color rgb="FF4874CB"/>
        <sz val="11"/>
      </font>
      <fill>
        <patternFill patternType="solid">
          <bgColor rgb="FFFFFFFF"/>
        </patternFill>
      </fill>
      <border>
        <left style="thin">
          <color rgb="FF4874CB"/>
        </left>
        <right/>
        <top style="thin">
          <color rgb="FF4874CB"/>
        </top>
        <bottom style="thin">
          <color rgb="FF4874CB"/>
        </bottom>
        <vertical/>
        <horizontal/>
      </border>
    </dxf>
    <dxf>
      <border>
        <left style="thin">
          <color rgb="FFB5C6EA"/>
        </left>
        <right style="thin">
          <color rgb="FFB5C6EA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</dxf>
    <dxf>
      <font>
        <b val="1"/>
        <color rgb="FF08090C"/>
        <sz val="11"/>
      </font>
      <fill>
        <patternFill patternType="solid">
          <bgColor rgb="FFD9E1F4"/>
        </patternFill>
      </fill>
      <border>
        <left style="thin">
          <color rgb="FFB5C6EA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ont>
        <b val="1"/>
        <color rgb="FF08090C"/>
        <sz val="11"/>
      </font>
      <fill>
        <patternFill patternType="solid">
          <bgColor rgb="FFD9E1F4"/>
        </patternFill>
      </fill>
      <border>
        <left style="thin">
          <color rgb="FF4874CB"/>
        </left>
        <right style="thin">
          <color rgb="FFB5C6EA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ont>
        <b val="1"/>
        <color rgb="FF4874CB"/>
        <sz val="11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 val="1"/>
        <color rgb="FFFFFFFF"/>
        <sz val="11"/>
      </font>
      <fill>
        <patternFill patternType="solid">
          <bgColor rgb="FF4874CB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 style="thin">
          <color rgb="FFB5C6EA"/>
        </horizontal>
      </border>
    </dxf>
    <dxf>
      <font>
        <color rgb="FFFFFFFF"/>
      </font>
      <fill>
        <patternFill patternType="solid">
          <fgColor rgb="FF4874CB"/>
          <bgColor rgb="FF4874CB"/>
        </patternFill>
      </fill>
      <border>
        <left/>
        <right/>
        <top/>
        <bottom/>
        <horizontal style="thin">
          <color rgb="FF1E366A"/>
        </horizontal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  <border>
        <left/>
        <right/>
        <top/>
        <bottom/>
        <horizontal style="thin">
          <color rgb="FF1E366A"/>
        </horizontal>
      </border>
    </dxf>
    <dxf>
      <font>
        <b val="1"/>
        <color rgb="FF000000"/>
      </font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</dxf>
    <dxf>
      <border>
        <left style="thin">
          <color rgb="FF91AADF"/>
        </left>
        <right style="thin">
          <color rgb="FF91AADF"/>
        </right>
        <top/>
        <bottom/>
      </border>
    </dxf>
    <dxf>
      <border>
        <left/>
        <right/>
        <top style="thin">
          <color rgb="FF91AADF"/>
        </top>
        <bottom style="thin">
          <color rgb="FF91AADF"/>
        </bottom>
        <horizontal style="thin">
          <color rgb="FF91AADF"/>
        </horizontal>
      </border>
    </dxf>
    <dxf>
      <font>
        <b val="1"/>
      </font>
      <border>
        <left/>
        <right/>
        <top style="thin">
          <color rgb="FF2D529F"/>
        </top>
        <bottom style="medium">
          <color rgb="FF2D529F"/>
        </bottom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  <border>
        <left/>
        <right/>
        <top style="thin">
          <color rgb="FF4874CB"/>
        </top>
        <bottom/>
      </border>
    </dxf>
    <dxf>
      <font>
        <color rgb="FF000000"/>
      </font>
    </dxf>
  </dxfs>
  <tableStyles count="2" defaultTableStyle="TableStyleMedium2" defaultPivotStyle="PivotStyleLight16">
    <tableStyle name="中色系标题行镶边行表格样式_676304" count="10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secondRowStripe" dxfId="9"/>
      <tableStyleElement type="firstColumnStripe" dxfId="8"/>
      <tableStyleElement type="secondColumnStripe" dxfId="7"/>
      <tableStyleElement type="firstTotalCell" dxfId="6"/>
      <tableStyleElement type="lastTotalCell" dxfId="5"/>
    </tableStyle>
    <tableStyle name="PivotStylePreset3_Accent1 1" table="0" count="10">
      <tableStyleElement type="wholeTable" dxfId="24"/>
      <tableStyleElement type="headerRow" dxfId="23"/>
      <tableStyleElement type="totalRow" dxfId="22"/>
      <tableStyleElement type="secondRowStripe" dxfId="21"/>
      <tableStyleElement type="secondColumnStripe" dxfId="20"/>
      <tableStyleElement type="first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7" Type="http://schemas.openxmlformats.org/officeDocument/2006/relationships/sharedStrings" Target="sharedStrings.xml" /></Relationships>
</file>

<file path=xl/comments/comment1.xml><?xml version="1.0" encoding="utf-8"?>
<comments xmlns="http://schemas.openxmlformats.org/spreadsheetml/2006/main">
  <authors>
    <author>Administrator</author>
  </authors>
  <commentList>
    <comment ref="S4" authorId="0" shapeId="0">
      <text>
        <t>Administrator:
2月5日</t>
      </text>
    </comment>
  </commentList>
</comment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358358</xdr:colOff>
      <xdr:row>1</xdr:row>
      <xdr:rowOff>329455</xdr:rowOff>
    </xdr:to>
    <xdr:pic>
      <xdr:nvPicPr>
        <xdr:cNvPr id="3" name="图片 6" descr="333639373139373b343435303836363bcafdbeddcdb3bcc6"/>
        <xdr:cNvPicPr/>
      </xdr:nvPicPr>
      <xdr:blipFill>
        <a:blip r:embed="rId1"/>
        <a:srcRect/>
        <a:stretch>
          <a:fillRect/>
        </a:stretch>
      </xdr:blipFill>
      <xdr:spPr>
        <a:xfrm>
          <a:off x="160020" y="165100"/>
          <a:ext cx="358140" cy="328930"/>
        </a:xfrm>
        <a:prstGeom prst="rect">
          <a:avLst/>
        </a:prstGeom>
        <a:noFill/>
        <a:ln w="9525" cap="flat" cmpd="sng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213"/>
  <sheetViews>
    <sheetView showGridLines="0" tabSelected="1" zoomScale="90" zoomScaleNormal="90" workbookViewId="0">
      <pane ySplit="3" topLeftCell="A4" activePane="bottomLeft" state="frozen"/>
      <selection activeCell="A1" sqref="A1"/>
      <selection pane="bottomLeft" activeCell="L7" sqref="L7"/>
    </sheetView>
  </sheetViews>
  <sheetFormatPr baseColWidth="8" defaultColWidth="9" defaultRowHeight="23" customHeight="1"/>
  <cols>
    <col width="12" customWidth="1" style="95" min="1" max="1"/>
    <col width="16" customWidth="1" style="22" min="2" max="2"/>
    <col width="12" customWidth="1" style="22" min="3" max="3"/>
    <col width="24" customWidth="1" style="22" min="4" max="4"/>
    <col width="26" customWidth="1" style="22" min="5" max="5"/>
    <col width="28" customWidth="1" style="22" min="6" max="6"/>
    <col width="20" customWidth="1" style="22" min="7" max="7"/>
    <col width="34" customWidth="1" style="22" min="8" max="8"/>
    <col width="15" bestFit="1" customWidth="1" style="155" min="9" max="9"/>
    <col width="13" bestFit="1" customWidth="1" style="97" min="10" max="11"/>
    <col width="13" bestFit="1" customWidth="1" style="97" min="11" max="11"/>
    <col width="12" bestFit="1" customWidth="1" style="155" min="12" max="13"/>
    <col width="13" bestFit="1" customWidth="1" style="97" min="13" max="13"/>
    <col width="13" bestFit="1" customWidth="1" style="97" min="14" max="15"/>
    <col width="15" bestFit="1" customWidth="1" style="97" min="15" max="15"/>
    <col width="12" bestFit="1" customWidth="1" style="155" min="16" max="17"/>
    <col width="13" bestFit="1" customWidth="1" style="97" min="17" max="17"/>
    <col width="15" bestFit="1" customWidth="1" style="97" min="18" max="18"/>
    <col width="12" bestFit="1" customWidth="1" style="155" min="19" max="20"/>
    <col width="13" bestFit="1" customWidth="1" style="97" min="20" max="20"/>
    <col width="13.75" customWidth="1" style="22" min="21" max="21"/>
    <col width="8.888888888888889" customWidth="1" style="22" min="22" max="16373"/>
    <col width="9" customWidth="1" style="22" min="16374" max="16384"/>
  </cols>
  <sheetData>
    <row r="1" ht="20.4" customFormat="1" customHeight="1" s="22">
      <c r="A1" s="98" t="n"/>
      <c r="B1" s="99" t="n"/>
      <c r="C1" s="99" t="n"/>
      <c r="D1" s="99" t="n"/>
      <c r="E1" s="99" t="n"/>
      <c r="F1" s="99" t="n"/>
      <c r="G1" s="99" t="n"/>
      <c r="H1" s="100" t="n"/>
      <c r="I1" s="101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100" t="n"/>
    </row>
    <row r="2" ht="15.6" customFormat="1" customHeight="1" s="22">
      <c r="A2" s="102" t="inlineStr">
        <is>
          <t>组别</t>
        </is>
      </c>
      <c r="B2" s="103" t="inlineStr">
        <is>
          <t>序号</t>
        </is>
      </c>
      <c r="C2" s="103" t="inlineStr">
        <is>
          <t>人员</t>
        </is>
      </c>
      <c r="D2" s="103" t="inlineStr">
        <is>
          <t>客户简称</t>
        </is>
      </c>
      <c r="E2" s="103" t="inlineStr">
        <is>
          <t>销售产品名称/项目名称</t>
        </is>
      </c>
      <c r="F2" s="103" t="inlineStr">
        <is>
          <t>落地地点</t>
        </is>
      </c>
      <c r="G2" s="103" t="inlineStr">
        <is>
          <t>客户来源
（展会需注明）</t>
        </is>
      </c>
      <c r="H2" s="104" t="inlineStr">
        <is>
          <t>备注</t>
        </is>
      </c>
      <c r="I2" s="105" t="inlineStr">
        <is>
          <t>签约后且收到第一笔款后才算已签约</t>
        </is>
      </c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7" t="n"/>
    </row>
    <row r="3" ht="22" customFormat="1" customHeight="1" s="22">
      <c r="A3" s="158" t="n"/>
      <c r="B3" s="158" t="n"/>
      <c r="C3" s="158" t="n"/>
      <c r="D3" s="158" t="n"/>
      <c r="E3" s="158" t="n"/>
      <c r="F3" s="158" t="n"/>
      <c r="G3" s="158" t="n"/>
      <c r="H3" s="158" t="n"/>
      <c r="I3" s="105" t="inlineStr">
        <is>
          <t>1月</t>
        </is>
      </c>
      <c r="J3" s="105" t="inlineStr">
        <is>
          <t>2月</t>
        </is>
      </c>
      <c r="K3" s="105" t="inlineStr">
        <is>
          <t>3月</t>
        </is>
      </c>
      <c r="L3" s="105" t="inlineStr">
        <is>
          <t>4月</t>
        </is>
      </c>
      <c r="M3" s="105" t="inlineStr">
        <is>
          <t>5月</t>
        </is>
      </c>
      <c r="N3" s="105" t="inlineStr">
        <is>
          <t>6月</t>
        </is>
      </c>
      <c r="O3" s="105" t="inlineStr">
        <is>
          <t>7月</t>
        </is>
      </c>
      <c r="P3" s="105" t="inlineStr">
        <is>
          <t>8月</t>
        </is>
      </c>
      <c r="Q3" s="105" t="inlineStr">
        <is>
          <t>9月</t>
        </is>
      </c>
      <c r="R3" s="105" t="inlineStr">
        <is>
          <t>10月</t>
        </is>
      </c>
      <c r="S3" s="105" t="inlineStr">
        <is>
          <t>11月</t>
        </is>
      </c>
      <c r="T3" s="105" t="inlineStr">
        <is>
          <t>12月</t>
        </is>
      </c>
    </row>
    <row r="4" ht="24" customHeight="1" s="97">
      <c r="A4" s="109" t="inlineStr">
        <is>
          <t>勇哥组</t>
        </is>
      </c>
      <c r="B4" s="124" t="n">
        <v>1</v>
      </c>
      <c r="C4" s="124" t="inlineStr">
        <is>
          <t>曾锦鹏</t>
        </is>
      </c>
      <c r="D4" s="124" t="inlineStr">
        <is>
          <t>蠡溪公园</t>
        </is>
      </c>
      <c r="E4" s="124" t="inlineStr">
        <is>
          <t>VR大空间、无限方舟</t>
        </is>
      </c>
      <c r="F4" s="124" t="inlineStr">
        <is>
          <t>无锡</t>
        </is>
      </c>
      <c r="G4" s="124" t="n"/>
      <c r="H4" s="159" t="inlineStr">
        <is>
          <t>已报价25万，10人大空间</t>
        </is>
      </c>
      <c r="I4" s="160" t="n"/>
      <c r="J4" s="160" t="n"/>
      <c r="K4" s="160" t="n"/>
      <c r="L4" s="160" t="n"/>
      <c r="M4" s="160" t="n"/>
      <c r="N4" s="160" t="n"/>
      <c r="O4" s="160" t="n"/>
      <c r="P4" s="160" t="n"/>
      <c r="Q4" s="160" t="n"/>
      <c r="R4" s="160" t="n"/>
      <c r="S4" s="160" t="n"/>
      <c r="T4" s="160" t="n"/>
    </row>
    <row r="5" ht="24" customHeight="1" s="97">
      <c r="A5" s="161" t="n"/>
      <c r="B5" s="124" t="n">
        <v>2</v>
      </c>
      <c r="C5" s="124" t="inlineStr">
        <is>
          <t>曾锦鹏</t>
        </is>
      </c>
      <c r="D5" s="124" t="inlineStr">
        <is>
          <t>湖南省文联/广东文化促进会</t>
        </is>
      </c>
      <c r="E5" s="124" t="inlineStr">
        <is>
          <t>全馆</t>
        </is>
      </c>
      <c r="F5" s="124" t="inlineStr">
        <is>
          <t>凤凰县</t>
        </is>
      </c>
      <c r="G5" s="124" t="n"/>
      <c r="H5" s="159" t="inlineStr">
        <is>
          <t>已按照文联提供的脚本做了方案，初版也通过，2.0已提交，落地在凤凰县某综合体内</t>
        </is>
      </c>
      <c r="I5" s="160" t="n"/>
      <c r="J5" s="160" t="n"/>
      <c r="K5" s="160" t="n"/>
      <c r="L5" s="160" t="n"/>
      <c r="M5" s="160" t="n"/>
      <c r="N5" s="160" t="n"/>
      <c r="O5" s="160" t="n"/>
      <c r="P5" s="160" t="n"/>
      <c r="Q5" s="160" t="n"/>
      <c r="R5" s="160" t="n"/>
      <c r="S5" s="160" t="n"/>
      <c r="T5" s="160" t="n"/>
    </row>
    <row r="6" ht="24" customHeight="1" s="97">
      <c r="A6" s="161" t="n"/>
      <c r="B6" s="124" t="n">
        <v>3</v>
      </c>
      <c r="C6" s="124" t="inlineStr">
        <is>
          <t>曾锦鹏</t>
        </is>
      </c>
      <c r="D6" s="124" t="inlineStr">
        <is>
          <t>湖南省文联/广东文化促进会</t>
        </is>
      </c>
      <c r="E6" s="124" t="inlineStr">
        <is>
          <t>XR剧场</t>
        </is>
      </c>
      <c r="F6" s="124" t="inlineStr">
        <is>
          <t>张家界</t>
        </is>
      </c>
      <c r="G6" s="124" t="n"/>
      <c r="H6" s="159" t="inlineStr">
        <is>
          <t>在谈香港资方，需要概预算方案</t>
        </is>
      </c>
      <c r="I6" s="160" t="n"/>
      <c r="J6" s="160" t="n"/>
      <c r="K6" s="160" t="n"/>
      <c r="L6" s="160" t="n"/>
      <c r="M6" s="160" t="n"/>
      <c r="N6" s="160" t="n"/>
      <c r="O6" s="160" t="n"/>
      <c r="P6" s="160" t="n"/>
      <c r="Q6" s="160" t="n"/>
      <c r="R6" s="160" t="n"/>
      <c r="S6" s="160" t="n"/>
      <c r="T6" s="160" t="n"/>
    </row>
    <row r="7" ht="24" customHeight="1" s="97">
      <c r="A7" s="161" t="n"/>
      <c r="B7" s="124" t="n">
        <v>4</v>
      </c>
      <c r="C7" s="124" t="inlineStr">
        <is>
          <t>曾锦鹏</t>
        </is>
      </c>
      <c r="D7" s="124" t="inlineStr">
        <is>
          <t>贵州姚总</t>
        </is>
      </c>
      <c r="E7" s="124" t="inlineStr">
        <is>
          <t>定制VR大空间-千户苗寨</t>
        </is>
      </c>
      <c r="F7" s="124" t="inlineStr">
        <is>
          <t>贵州黔东南</t>
        </is>
      </c>
      <c r="G7" s="124" t="n"/>
      <c r="H7" s="159" t="inlineStr">
        <is>
          <t>给了基础资料</t>
        </is>
      </c>
      <c r="I7" s="160" t="n"/>
      <c r="J7" s="160" t="n"/>
      <c r="K7" s="160" t="n"/>
      <c r="L7" s="160" t="n"/>
      <c r="M7" s="160" t="n"/>
      <c r="N7" s="160" t="n"/>
      <c r="O7" s="160" t="n"/>
      <c r="P7" s="160" t="n"/>
      <c r="Q7" s="160" t="n"/>
      <c r="R7" s="160" t="n"/>
      <c r="S7" s="160" t="n"/>
      <c r="T7" s="160" t="n"/>
    </row>
    <row r="8" ht="24" customHeight="1" s="97">
      <c r="A8" s="161" t="n"/>
      <c r="B8" s="124" t="n">
        <v>5</v>
      </c>
      <c r="C8" s="124" t="inlineStr">
        <is>
          <t>曾锦鹏</t>
        </is>
      </c>
      <c r="D8" s="124" t="inlineStr">
        <is>
          <t>贵州姚总</t>
        </is>
      </c>
      <c r="E8" s="124" t="inlineStr">
        <is>
          <t>VR大空间</t>
        </is>
      </c>
      <c r="F8" s="124" t="inlineStr">
        <is>
          <t>贵州遵义</t>
        </is>
      </c>
      <c r="G8" s="124" t="n"/>
      <c r="H8" s="159" t="inlineStr">
        <is>
          <t>已发报价</t>
        </is>
      </c>
      <c r="I8" s="160" t="n"/>
      <c r="J8" s="160" t="n"/>
      <c r="K8" s="160" t="n"/>
      <c r="L8" s="160" t="n"/>
      <c r="M8" s="160" t="n"/>
      <c r="N8" s="160" t="n"/>
      <c r="O8" s="160" t="n"/>
      <c r="P8" s="160" t="n"/>
      <c r="Q8" s="160" t="n"/>
      <c r="R8" s="160" t="n"/>
      <c r="S8" s="160" t="n"/>
      <c r="T8" s="160" t="n"/>
    </row>
    <row r="9" ht="24" customHeight="1" s="97">
      <c r="A9" s="161" t="n"/>
      <c r="B9" s="124" t="n">
        <v>6</v>
      </c>
      <c r="C9" s="124" t="inlineStr">
        <is>
          <t>曾锦鹏</t>
        </is>
      </c>
      <c r="D9" s="124" t="inlineStr">
        <is>
          <t>金龙罗镜新</t>
        </is>
      </c>
      <c r="E9" s="124" t="inlineStr">
        <is>
          <t>飞行影院-湖南长沙海洋主题乐园</t>
        </is>
      </c>
      <c r="F9" s="124" t="inlineStr">
        <is>
          <t>长沙</t>
        </is>
      </c>
      <c r="G9" s="124" t="n"/>
      <c r="H9" s="159" t="inlineStr">
        <is>
          <t>前期设计</t>
        </is>
      </c>
      <c r="I9" s="160" t="n"/>
      <c r="J9" s="160" t="n"/>
      <c r="K9" s="160" t="n"/>
      <c r="L9" s="160" t="n"/>
      <c r="M9" s="160" t="n"/>
      <c r="N9" s="160" t="n"/>
      <c r="O9" s="160" t="n"/>
      <c r="P9" s="160" t="n"/>
      <c r="Q9" s="160" t="n"/>
      <c r="R9" s="160" t="n"/>
      <c r="S9" s="160" t="n"/>
      <c r="T9" s="160" t="n"/>
    </row>
    <row r="10" ht="24" customHeight="1" s="97">
      <c r="A10" s="161" t="n"/>
      <c r="B10" s="124" t="n">
        <v>7</v>
      </c>
      <c r="C10" s="124" t="inlineStr">
        <is>
          <t>曾锦鹏</t>
        </is>
      </c>
      <c r="D10" s="124" t="inlineStr">
        <is>
          <t>湖北谭总</t>
        </is>
      </c>
      <c r="E10" s="124" t="inlineStr">
        <is>
          <t>三峡水下博物馆</t>
        </is>
      </c>
      <c r="F10" s="124" t="inlineStr">
        <is>
          <t>秭归</t>
        </is>
      </c>
      <c r="G10" s="124" t="n"/>
      <c r="H10" s="159" t="inlineStr">
        <is>
          <t>前期沟通、已到馆体验，资金筹备</t>
        </is>
      </c>
      <c r="I10" s="160" t="n"/>
      <c r="J10" s="160" t="n"/>
      <c r="K10" s="160" t="n"/>
      <c r="L10" s="160" t="n"/>
      <c r="M10" s="160" t="n"/>
      <c r="N10" s="160" t="n"/>
      <c r="O10" s="160" t="n"/>
      <c r="P10" s="160" t="n"/>
      <c r="Q10" s="160" t="n"/>
      <c r="R10" s="160" t="n"/>
      <c r="S10" s="160" t="n"/>
      <c r="T10" s="160" t="n"/>
    </row>
    <row r="11" ht="24" customHeight="1" s="97">
      <c r="A11" s="161" t="n"/>
      <c r="B11" s="124" t="n">
        <v>8</v>
      </c>
      <c r="C11" s="124" t="inlineStr">
        <is>
          <t>曾锦鹏</t>
        </is>
      </c>
      <c r="D11" s="124" t="inlineStr">
        <is>
          <t>蔡女士</t>
        </is>
      </c>
      <c r="E11" s="124" t="inlineStr">
        <is>
          <t>全馆</t>
        </is>
      </c>
      <c r="F11" s="124" t="inlineStr">
        <is>
          <t>意大利</t>
        </is>
      </c>
      <c r="G11" s="124" t="n"/>
      <c r="H11" s="159" t="inlineStr">
        <is>
          <t>目前在选址，确认好会回国来公司考察</t>
        </is>
      </c>
      <c r="I11" s="160" t="n"/>
      <c r="J11" s="160" t="n"/>
      <c r="K11" s="160" t="n"/>
      <c r="L11" s="160" t="n"/>
      <c r="M11" s="160" t="n"/>
      <c r="N11" s="160" t="n"/>
      <c r="O11" s="160" t="n"/>
      <c r="P11" s="160" t="n"/>
      <c r="Q11" s="160" t="n"/>
      <c r="R11" s="160" t="n"/>
      <c r="S11" s="160" t="n"/>
      <c r="T11" s="160" t="n"/>
    </row>
    <row r="12" ht="24" customHeight="1" s="97">
      <c r="A12" s="161" t="n"/>
      <c r="B12" s="124" t="n">
        <v>9</v>
      </c>
      <c r="C12" s="124" t="inlineStr">
        <is>
          <t>曾锦鹏</t>
        </is>
      </c>
      <c r="D12" s="124" t="inlineStr">
        <is>
          <t>冯总/琶洲机器人科技公园</t>
        </is>
      </c>
      <c r="E12" s="124" t="inlineStr">
        <is>
          <t>元宇宙剧场</t>
        </is>
      </c>
      <c r="F12" s="124" t="inlineStr">
        <is>
          <t>广州</t>
        </is>
      </c>
      <c r="G12" s="124" t="n"/>
      <c r="H12" s="159" t="inlineStr">
        <is>
          <t>邀请体验</t>
        </is>
      </c>
      <c r="I12" s="160" t="n"/>
      <c r="J12" s="160" t="n"/>
      <c r="K12" s="160" t="n"/>
      <c r="L12" s="160" t="n"/>
      <c r="M12" s="160" t="n"/>
      <c r="N12" s="160" t="n"/>
      <c r="O12" s="160" t="n"/>
      <c r="P12" s="160" t="n"/>
      <c r="Q12" s="160" t="n"/>
      <c r="R12" s="160" t="n"/>
      <c r="S12" s="160" t="n"/>
      <c r="T12" s="160" t="n"/>
    </row>
    <row r="13" ht="24" customHeight="1" s="97">
      <c r="A13" s="161" t="n"/>
      <c r="B13" s="124" t="n">
        <v>10</v>
      </c>
      <c r="C13" s="124" t="inlineStr">
        <is>
          <t>曾锦鹏</t>
        </is>
      </c>
      <c r="D13" s="124" t="inlineStr">
        <is>
          <t>南陆河</t>
        </is>
      </c>
      <c r="E13" s="124" t="inlineStr">
        <is>
          <t>沙盘赛车4人</t>
        </is>
      </c>
      <c r="F13" s="124" t="inlineStr">
        <is>
          <t>蓟县</t>
        </is>
      </c>
      <c r="G13" s="124" t="n"/>
      <c r="H13" s="159" t="inlineStr">
        <is>
          <t>已报价</t>
        </is>
      </c>
      <c r="I13" s="160" t="n"/>
      <c r="J13" s="160" t="n"/>
      <c r="K13" s="160" t="n"/>
      <c r="L13" s="160" t="n"/>
      <c r="M13" s="160" t="n"/>
      <c r="N13" s="160" t="n"/>
      <c r="O13" s="160" t="n"/>
      <c r="P13" s="160" t="n"/>
      <c r="Q13" s="160" t="n"/>
      <c r="R13" s="160" t="n"/>
      <c r="S13" s="160" t="n"/>
      <c r="T13" s="160" t="n"/>
    </row>
    <row r="14" hidden="1" ht="24" customHeight="1" s="97">
      <c r="A14" s="161" t="n"/>
      <c r="B14" s="124" t="n">
        <v>11</v>
      </c>
      <c r="C14" s="162" t="inlineStr">
        <is>
          <t>曾锦鹏</t>
        </is>
      </c>
      <c r="D14" s="162" t="inlineStr">
        <is>
          <t>珠影</t>
        </is>
      </c>
      <c r="E14" s="162" t="inlineStr">
        <is>
          <t>VR大空间+内容定制</t>
        </is>
      </c>
      <c r="F14" s="162" t="inlineStr">
        <is>
          <t>万博城、客村</t>
        </is>
      </c>
      <c r="G14" s="162" t="n"/>
      <c r="H14" s="163" t="inlineStr">
        <is>
          <t>邝总的意思：目前在做珠影集团面前那一整块地的改造，会做成一个文创商圈，把VR的内容加到商圈规划，现在在做：珠影风物志的文创</t>
        </is>
      </c>
      <c r="I14" s="160" t="n"/>
      <c r="J14" s="160" t="n"/>
      <c r="K14" s="160" t="n"/>
      <c r="L14" s="160" t="n"/>
      <c r="M14" s="160" t="n"/>
      <c r="N14" s="160" t="n"/>
      <c r="O14" s="160" t="n"/>
      <c r="P14" s="160" t="n"/>
      <c r="Q14" s="160" t="n"/>
      <c r="R14" s="160" t="n"/>
      <c r="S14" s="160" t="n"/>
      <c r="T14" s="160" t="n"/>
    </row>
    <row r="15" hidden="1" ht="24" customHeight="1" s="97">
      <c r="A15" s="161" t="n"/>
      <c r="B15" s="124" t="n">
        <v>12</v>
      </c>
      <c r="C15" s="162" t="inlineStr">
        <is>
          <t>曾锦鹏</t>
        </is>
      </c>
      <c r="D15" s="162" t="inlineStr">
        <is>
          <t>北京路裸眼3D展示</t>
        </is>
      </c>
      <c r="E15" s="162" t="inlineStr">
        <is>
          <t>裸眼3D</t>
        </is>
      </c>
      <c r="F15" s="162" t="inlineStr">
        <is>
          <t>北京路大佛寺</t>
        </is>
      </c>
      <c r="G15" s="162" t="n"/>
      <c r="H15" s="163" t="inlineStr">
        <is>
          <t>发了中山的孙文中路的裸眼3D效果给商会马主席，感兴趣，研究中</t>
        </is>
      </c>
      <c r="I15" s="160" t="n"/>
      <c r="J15" s="160" t="n"/>
      <c r="K15" s="160" t="n"/>
      <c r="L15" s="160" t="n"/>
      <c r="M15" s="160" t="n"/>
      <c r="N15" s="160" t="n"/>
      <c r="O15" s="160" t="n"/>
      <c r="P15" s="160" t="n"/>
      <c r="Q15" s="160" t="n"/>
      <c r="R15" s="160" t="n"/>
      <c r="S15" s="160" t="n"/>
      <c r="T15" s="160" t="n"/>
    </row>
    <row r="16" hidden="1" ht="24" customHeight="1" s="97">
      <c r="A16" s="161" t="n"/>
      <c r="B16" s="124" t="n">
        <v>13</v>
      </c>
      <c r="C16" s="162" t="inlineStr">
        <is>
          <t>曾锦鹏</t>
        </is>
      </c>
      <c r="D16" s="162" t="inlineStr">
        <is>
          <t>寒武纪</t>
        </is>
      </c>
      <c r="E16" s="162" t="inlineStr">
        <is>
          <t>元宇宙剧场、VR大空间</t>
        </is>
      </c>
      <c r="F16" s="162" t="inlineStr">
        <is>
          <t>抚仙湖</t>
        </is>
      </c>
      <c r="G16" s="162" t="n"/>
      <c r="H16" s="163" t="inlineStr">
        <is>
          <t>元宇宙剧场直角50人报价120万</t>
        </is>
      </c>
      <c r="I16" s="160" t="n"/>
      <c r="J16" s="160" t="n"/>
      <c r="K16" s="160" t="n"/>
      <c r="L16" s="160" t="n"/>
      <c r="M16" s="160" t="n"/>
      <c r="N16" s="160" t="n"/>
      <c r="O16" s="160" t="n"/>
      <c r="P16" s="160" t="n"/>
      <c r="Q16" s="160" t="n"/>
      <c r="R16" s="160" t="n"/>
      <c r="S16" s="160" t="n"/>
      <c r="T16" s="160" t="n"/>
    </row>
    <row r="17" hidden="1" ht="24" customHeight="1" s="97">
      <c r="A17" s="161" t="n"/>
      <c r="B17" s="124" t="n">
        <v>14</v>
      </c>
      <c r="C17" s="162" t="inlineStr">
        <is>
          <t>曾锦鹏</t>
        </is>
      </c>
      <c r="D17" s="162" t="inlineStr">
        <is>
          <t>珠江啤酒厂展厅</t>
        </is>
      </c>
      <c r="E17" s="162" t="inlineStr">
        <is>
          <t>MR展厅</t>
        </is>
      </c>
      <c r="F17" s="162" t="inlineStr">
        <is>
          <t>琶洲</t>
        </is>
      </c>
      <c r="G17" s="162" t="inlineStr">
        <is>
          <t>渠道</t>
        </is>
      </c>
      <c r="H17" s="163" t="inlineStr">
        <is>
          <t>渠道推进</t>
        </is>
      </c>
      <c r="I17" s="160" t="n"/>
      <c r="J17" s="160" t="n"/>
      <c r="K17" s="160" t="n"/>
      <c r="L17" s="160" t="n"/>
      <c r="M17" s="160" t="n"/>
      <c r="N17" s="160" t="n"/>
      <c r="O17" s="160" t="n"/>
      <c r="P17" s="160" t="n"/>
      <c r="Q17" s="160" t="n"/>
      <c r="R17" s="160" t="n"/>
      <c r="S17" s="160" t="n"/>
      <c r="T17" s="160" t="n"/>
    </row>
    <row r="18" hidden="1" ht="24" customHeight="1" s="97">
      <c r="A18" s="161" t="n"/>
      <c r="B18" s="124" t="n">
        <v>15</v>
      </c>
      <c r="C18" s="162" t="inlineStr">
        <is>
          <t>曾锦鹏</t>
        </is>
      </c>
      <c r="D18" s="162" t="inlineStr">
        <is>
          <t>黄飞鸿IP</t>
        </is>
      </c>
      <c r="E18" s="162" t="inlineStr">
        <is>
          <t>VR大空间+内容定制</t>
        </is>
      </c>
      <c r="F18" s="162" t="inlineStr">
        <is>
          <t>南海</t>
        </is>
      </c>
      <c r="G18" s="162" t="inlineStr">
        <is>
          <t>渠道</t>
        </is>
      </c>
      <c r="H18" s="163" t="inlineStr">
        <is>
          <t>待反馈</t>
        </is>
      </c>
      <c r="I18" s="160" t="n"/>
      <c r="J18" s="160" t="n"/>
      <c r="K18" s="160" t="n"/>
      <c r="L18" s="160" t="n"/>
      <c r="M18" s="160" t="n"/>
      <c r="N18" s="160" t="n"/>
      <c r="O18" s="160" t="n"/>
      <c r="P18" s="160" t="n"/>
      <c r="Q18" s="160" t="n"/>
      <c r="R18" s="160" t="n"/>
      <c r="S18" s="160" t="n"/>
      <c r="T18" s="160" t="n"/>
    </row>
    <row r="19" hidden="1" ht="24" customHeight="1" s="97">
      <c r="A19" s="161" t="n"/>
      <c r="B19" s="124" t="n">
        <v>14</v>
      </c>
      <c r="C19" s="162" t="inlineStr">
        <is>
          <t>曾锦鹏</t>
        </is>
      </c>
      <c r="D19" s="162" t="inlineStr">
        <is>
          <t>程村蚝产业文化推广中心</t>
        </is>
      </c>
      <c r="E19" s="162" t="inlineStr">
        <is>
          <t>MR全息博物馆</t>
        </is>
      </c>
      <c r="F19" s="162" t="inlineStr">
        <is>
          <t>阳江</t>
        </is>
      </c>
      <c r="G19" s="162" t="n"/>
      <c r="H19" s="163" t="inlineStr">
        <is>
          <t>沟通中</t>
        </is>
      </c>
      <c r="I19" s="160" t="n"/>
      <c r="J19" s="160" t="n"/>
      <c r="K19" s="160" t="n"/>
      <c r="L19" s="160" t="n"/>
      <c r="M19" s="160" t="n"/>
      <c r="N19" s="160" t="n"/>
      <c r="O19" s="160" t="n"/>
      <c r="P19" s="160" t="n"/>
      <c r="Q19" s="160" t="n"/>
      <c r="R19" s="160" t="n"/>
      <c r="S19" s="160" t="n"/>
      <c r="T19" s="160" t="n"/>
    </row>
    <row r="20" ht="28" customHeight="1" s="97">
      <c r="A20" s="161" t="n"/>
      <c r="B20" s="120" t="inlineStr">
        <is>
          <t>个人月度合计：</t>
        </is>
      </c>
      <c r="C20" s="156" t="n"/>
      <c r="D20" s="156" t="n"/>
      <c r="E20" s="156" t="n"/>
      <c r="F20" s="156" t="n"/>
      <c r="G20" s="156" t="n"/>
      <c r="H20" s="157" t="n"/>
      <c r="I20" s="164">
        <f>SUM(I4:I19)</f>
        <v/>
      </c>
      <c r="J20" s="164">
        <f>SUM(J4:J19)</f>
        <v/>
      </c>
      <c r="K20" s="164">
        <f>SUM(K4:K19)</f>
        <v/>
      </c>
      <c r="L20" s="164">
        <f>SUM(L4:L19)</f>
        <v/>
      </c>
      <c r="M20" s="164">
        <f>SUM(M4:M19)</f>
        <v/>
      </c>
      <c r="N20" s="164">
        <f>SUM(N4:N19)</f>
        <v/>
      </c>
      <c r="O20" s="164">
        <f>SUM(O4:O19)</f>
        <v/>
      </c>
      <c r="P20" s="164">
        <f>SUM(P4:P19)</f>
        <v/>
      </c>
      <c r="Q20" s="164">
        <f>SUM(Q4:Q19)</f>
        <v/>
      </c>
      <c r="R20" s="164">
        <f>SUM(R4:R19)</f>
        <v/>
      </c>
      <c r="S20" s="164">
        <f>SUM(S4:S19)</f>
        <v/>
      </c>
      <c r="T20" s="164">
        <f>SUM(T4:T19)</f>
        <v/>
      </c>
    </row>
    <row r="21" ht="28" customHeight="1" s="97">
      <c r="A21" s="161" t="n"/>
      <c r="B21" s="120" t="inlineStr">
        <is>
          <t>个人季度合计：</t>
        </is>
      </c>
      <c r="C21" s="156" t="n"/>
      <c r="D21" s="156" t="n"/>
      <c r="E21" s="156" t="n"/>
      <c r="F21" s="156" t="n"/>
      <c r="G21" s="156" t="n"/>
      <c r="H21" s="157" t="n"/>
      <c r="I21" s="164">
        <f>SUM(I20:K20)</f>
        <v/>
      </c>
      <c r="J21" s="156" t="n"/>
      <c r="K21" s="157" t="n"/>
      <c r="L21" s="164">
        <f>SUM(L20:N20)</f>
        <v/>
      </c>
      <c r="M21" s="156" t="n"/>
      <c r="N21" s="157" t="n"/>
      <c r="O21" s="164">
        <f>SUM(O20:Q20)</f>
        <v/>
      </c>
      <c r="P21" s="156" t="n"/>
      <c r="Q21" s="157" t="n"/>
      <c r="R21" s="164">
        <f>SUM(R20:T20)</f>
        <v/>
      </c>
      <c r="S21" s="156" t="n"/>
      <c r="T21" s="157" t="n"/>
    </row>
    <row r="22" ht="28" customHeight="1" s="97">
      <c r="A22" s="161" t="n"/>
      <c r="B22" s="120" t="inlineStr">
        <is>
          <t>个人年度合计：</t>
        </is>
      </c>
      <c r="C22" s="156" t="n"/>
      <c r="D22" s="156" t="n"/>
      <c r="E22" s="156" t="n"/>
      <c r="F22" s="156" t="n"/>
      <c r="G22" s="156" t="n"/>
      <c r="H22" s="157" t="n"/>
      <c r="I22" s="164">
        <f>SUM(I20:T20)</f>
        <v/>
      </c>
      <c r="J22" s="156" t="n"/>
      <c r="K22" s="156" t="n"/>
      <c r="L22" s="156" t="n"/>
      <c r="M22" s="156" t="n"/>
      <c r="N22" s="156" t="n"/>
      <c r="O22" s="156" t="n"/>
      <c r="P22" s="156" t="n"/>
      <c r="Q22" s="156" t="n"/>
      <c r="R22" s="156" t="n"/>
      <c r="S22" s="156" t="n"/>
      <c r="T22" s="157" t="n"/>
    </row>
    <row r="23" ht="18" customHeight="1" s="97">
      <c r="A23" s="161" t="n"/>
      <c r="B23" s="124" t="n"/>
      <c r="C23" s="156" t="n"/>
      <c r="D23" s="156" t="n"/>
      <c r="E23" s="156" t="n"/>
      <c r="F23" s="156" t="n"/>
      <c r="G23" s="156" t="n"/>
      <c r="H23" s="156" t="n"/>
      <c r="I23" s="156" t="n"/>
      <c r="J23" s="156" t="n"/>
      <c r="K23" s="156" t="n"/>
      <c r="L23" s="156" t="n"/>
      <c r="M23" s="156" t="n"/>
      <c r="N23" s="156" t="n"/>
      <c r="O23" s="156" t="n"/>
      <c r="P23" s="156" t="n"/>
      <c r="Q23" s="156" t="n"/>
      <c r="R23" s="156" t="n"/>
      <c r="S23" s="156" t="n"/>
      <c r="T23" s="157" t="n"/>
    </row>
    <row r="24" ht="24" customHeight="1" s="97">
      <c r="A24" s="161" t="n"/>
      <c r="B24" s="124" t="n">
        <v>1</v>
      </c>
      <c r="C24" s="124" t="inlineStr">
        <is>
          <t>李敏健</t>
        </is>
      </c>
      <c r="D24" s="124" t="inlineStr">
        <is>
          <t>南沙区政府（省政府办公厅）</t>
        </is>
      </c>
      <c r="E24" s="124" t="inlineStr">
        <is>
          <t>南沙元宇宙滨江示范带</t>
        </is>
      </c>
      <c r="F24" s="124" t="inlineStr">
        <is>
          <t>南沙区</t>
        </is>
      </c>
      <c r="G24" s="124" t="n"/>
      <c r="H24" s="159" t="n"/>
      <c r="I24" s="160" t="n"/>
      <c r="J24" s="165" t="n"/>
      <c r="K24" s="165" t="n"/>
      <c r="L24" s="165" t="n"/>
      <c r="M24" s="165" t="n"/>
      <c r="N24" s="165" t="n"/>
      <c r="O24" s="165" t="n"/>
      <c r="P24" s="165" t="n"/>
      <c r="Q24" s="165" t="n"/>
      <c r="R24" s="165" t="n"/>
      <c r="S24" s="165" t="n"/>
      <c r="T24" s="165" t="n"/>
    </row>
    <row r="25" ht="24" customHeight="1" s="97">
      <c r="A25" s="161" t="n"/>
      <c r="B25" s="124" t="n">
        <v>2</v>
      </c>
      <c r="C25" s="124" t="inlineStr">
        <is>
          <t>李敏健</t>
        </is>
      </c>
      <c r="D25" s="124" t="inlineStr">
        <is>
          <t>澳门博维资讯(许总）</t>
        </is>
      </c>
      <c r="E25" s="124" t="inlineStr">
        <is>
          <t>影片（葡江百年）</t>
        </is>
      </c>
      <c r="F25" s="124" t="inlineStr">
        <is>
          <t>澳门</t>
        </is>
      </c>
      <c r="G25" s="124" t="n"/>
      <c r="H25" s="159" t="n"/>
      <c r="I25" s="160" t="n"/>
      <c r="J25" s="165" t="n"/>
      <c r="K25" s="165" t="n"/>
      <c r="L25" s="165" t="n"/>
      <c r="M25" s="165" t="n"/>
      <c r="N25" s="165" t="n"/>
      <c r="O25" s="165" t="n"/>
      <c r="P25" s="165" t="n"/>
      <c r="Q25" s="165" t="n"/>
      <c r="R25" s="165" t="n"/>
      <c r="S25" s="165" t="n"/>
      <c r="T25" s="165" t="n"/>
    </row>
    <row r="26" ht="24" customHeight="1" s="97">
      <c r="A26" s="161" t="n"/>
      <c r="B26" s="124" t="n">
        <v>3</v>
      </c>
      <c r="C26" s="124" t="inlineStr">
        <is>
          <t>李敏健</t>
        </is>
      </c>
      <c r="D26" s="124" t="inlineStr">
        <is>
          <t>广东省知识产权专项补贴</t>
        </is>
      </c>
      <c r="E26" s="124" t="inlineStr">
        <is>
          <t>元宇宙创新类别</t>
        </is>
      </c>
      <c r="F26" s="124" t="inlineStr">
        <is>
          <t>广东</t>
        </is>
      </c>
      <c r="G26" s="124" t="n"/>
      <c r="H26" s="159" t="n"/>
      <c r="I26" s="160" t="n"/>
      <c r="J26" s="165" t="n"/>
      <c r="K26" s="165" t="n"/>
      <c r="L26" s="165" t="n"/>
      <c r="M26" s="165" t="n"/>
      <c r="N26" s="165" t="n"/>
      <c r="O26" s="165" t="n"/>
      <c r="P26" s="165" t="n"/>
      <c r="Q26" s="165" t="n"/>
      <c r="R26" s="165" t="n"/>
      <c r="S26" s="165" t="n"/>
      <c r="T26" s="165" t="n"/>
    </row>
    <row r="27" ht="28" customHeight="1" s="97">
      <c r="A27" s="161" t="n"/>
      <c r="B27" s="120" t="inlineStr">
        <is>
          <t>个人月度合计：</t>
        </is>
      </c>
      <c r="C27" s="156" t="n"/>
      <c r="D27" s="156" t="n"/>
      <c r="E27" s="156" t="n"/>
      <c r="F27" s="156" t="n"/>
      <c r="G27" s="156" t="n"/>
      <c r="H27" s="157" t="n"/>
      <c r="I27" s="164">
        <f>SUM(I24:I26)</f>
        <v/>
      </c>
      <c r="J27" s="164">
        <f>SUM(J24:J26)</f>
        <v/>
      </c>
      <c r="K27" s="164">
        <f>SUM(K24:K26)</f>
        <v/>
      </c>
      <c r="L27" s="164">
        <f>SUM(L24:L26)</f>
        <v/>
      </c>
      <c r="M27" s="164">
        <f>SUM(M24:M26)</f>
        <v/>
      </c>
      <c r="N27" s="164">
        <f>SUM(N24:N26)</f>
        <v/>
      </c>
      <c r="O27" s="164">
        <f>SUM(O24:O26)</f>
        <v/>
      </c>
      <c r="P27" s="164">
        <f>SUM(P24:P26)</f>
        <v/>
      </c>
      <c r="Q27" s="164">
        <f>SUM(Q24:Q26)</f>
        <v/>
      </c>
      <c r="R27" s="164">
        <f>SUM(R24:R26)</f>
        <v/>
      </c>
      <c r="S27" s="164">
        <f>SUM(S24:S26)</f>
        <v/>
      </c>
      <c r="T27" s="164">
        <f>SUM(T24:T26)</f>
        <v/>
      </c>
    </row>
    <row r="28" ht="28" customHeight="1" s="97">
      <c r="A28" s="161" t="n"/>
      <c r="B28" s="120" t="inlineStr">
        <is>
          <t>个人季度合计：</t>
        </is>
      </c>
      <c r="C28" s="156" t="n"/>
      <c r="D28" s="156" t="n"/>
      <c r="E28" s="156" t="n"/>
      <c r="F28" s="156" t="n"/>
      <c r="G28" s="156" t="n"/>
      <c r="H28" s="157" t="n"/>
      <c r="I28" s="164">
        <f>SUM(I27:K27)</f>
        <v/>
      </c>
      <c r="J28" s="156" t="n"/>
      <c r="K28" s="157" t="n"/>
      <c r="L28" s="164">
        <f>SUM(L27:N27)</f>
        <v/>
      </c>
      <c r="M28" s="156" t="n"/>
      <c r="N28" s="157" t="n"/>
      <c r="O28" s="164">
        <f>SUM(O27:Q27)</f>
        <v/>
      </c>
      <c r="P28" s="156" t="n"/>
      <c r="Q28" s="157" t="n"/>
      <c r="R28" s="164">
        <f>SUM(R27:T27)</f>
        <v/>
      </c>
      <c r="S28" s="156" t="n"/>
      <c r="T28" s="157" t="n"/>
    </row>
    <row r="29" ht="28" customHeight="1" s="97">
      <c r="A29" s="161" t="n"/>
      <c r="B29" s="120" t="inlineStr">
        <is>
          <t>个人年度合计：</t>
        </is>
      </c>
      <c r="C29" s="156" t="n"/>
      <c r="D29" s="156" t="n"/>
      <c r="E29" s="156" t="n"/>
      <c r="F29" s="156" t="n"/>
      <c r="G29" s="156" t="n"/>
      <c r="H29" s="157" t="n"/>
      <c r="I29" s="164">
        <f>SUM(I27:T27)</f>
        <v/>
      </c>
      <c r="J29" s="156" t="n"/>
      <c r="K29" s="156" t="n"/>
      <c r="L29" s="156" t="n"/>
      <c r="M29" s="156" t="n"/>
      <c r="N29" s="156" t="n"/>
      <c r="O29" s="156" t="n"/>
      <c r="P29" s="156" t="n"/>
      <c r="Q29" s="156" t="n"/>
      <c r="R29" s="156" t="n"/>
      <c r="S29" s="156" t="n"/>
      <c r="T29" s="157" t="n"/>
    </row>
    <row r="30" ht="18" customHeight="1" s="97">
      <c r="A30" s="161" t="n"/>
      <c r="B30" s="124" t="n"/>
      <c r="C30" s="156" t="n"/>
      <c r="D30" s="156" t="n"/>
      <c r="E30" s="156" t="n"/>
      <c r="F30" s="156" t="n"/>
      <c r="G30" s="156" t="n"/>
      <c r="H30" s="156" t="n"/>
      <c r="I30" s="156" t="n"/>
      <c r="J30" s="156" t="n"/>
      <c r="K30" s="156" t="n"/>
      <c r="L30" s="156" t="n"/>
      <c r="M30" s="156" t="n"/>
      <c r="N30" s="156" t="n"/>
      <c r="O30" s="156" t="n"/>
      <c r="P30" s="156" t="n"/>
      <c r="Q30" s="156" t="n"/>
      <c r="R30" s="156" t="n"/>
      <c r="S30" s="156" t="n"/>
      <c r="T30" s="157" t="n"/>
    </row>
    <row r="31" ht="24" customHeight="1" s="97">
      <c r="A31" s="161" t="n"/>
      <c r="B31" s="124" t="n">
        <v>1</v>
      </c>
      <c r="C31" s="124" t="inlineStr">
        <is>
          <t>梁秋霞</t>
        </is>
      </c>
      <c r="D31" s="124" t="inlineStr">
        <is>
          <t>FIip out Box hill 蹦床馆
终端客户：武洋</t>
        </is>
      </c>
      <c r="E31" s="124" t="inlineStr">
        <is>
          <t>赛车（4人/6人）
￥约13.4-18.7万</t>
        </is>
      </c>
      <c r="F31" s="124" t="inlineStr">
        <is>
          <t>澳洲墨尔本</t>
        </is>
      </c>
      <c r="G31" s="124" t="n"/>
      <c r="H31" s="159" t="inlineStr">
        <is>
          <t>7曰9日下午到番禺，到展厅参观后到公司面谈，
目前只关注沙盘赛车，后期再看可推其他品。也可以作为区域合作商、代理商等
已报价4-6-（8）人报价 ，￥13.4-18.7万。目前在沟通具体产品参数及出口认证的事情
希望这两个月能再来体验到赛车，等我们通知</t>
        </is>
      </c>
      <c r="I31" s="160" t="n"/>
      <c r="J31" s="165" t="n"/>
      <c r="K31" s="165" t="n"/>
      <c r="L31" s="165" t="n"/>
      <c r="M31" s="165" t="n"/>
      <c r="N31" s="165" t="n"/>
      <c r="O31" s="165" t="n"/>
      <c r="P31" s="165" t="n"/>
      <c r="Q31" s="165" t="n"/>
      <c r="R31" s="165" t="n"/>
      <c r="S31" s="165" t="n"/>
      <c r="T31" s="165" t="n"/>
    </row>
    <row r="32" ht="24" customHeight="1" s="97">
      <c r="A32" s="161" t="n"/>
      <c r="B32" s="124" t="n">
        <v>2</v>
      </c>
      <c r="C32" s="124" t="inlineStr">
        <is>
          <t>梁秋霞</t>
        </is>
      </c>
      <c r="D32" s="124" t="inlineStr">
        <is>
          <t>台湾尚顺育乐世界
终端客户：郭宏志</t>
        </is>
      </c>
      <c r="E32" s="124" t="inlineStr">
        <is>
          <t>赛车（4人/6人）
￥约18.7万</t>
        </is>
      </c>
      <c r="F32" s="124" t="inlineStr">
        <is>
          <t>台湾苗栗县(苗栗市)</t>
        </is>
      </c>
      <c r="G32" s="124" t="n"/>
      <c r="H32" s="159" t="inlineStr">
        <is>
          <t>台湾苗栗县(苗栗市)很大的亲子商场，有个20-30平
意向沙盘赛车 
已报价4-6  ￥18.7万 
计划7月22-26日来广州，邀约到门店
上线时间：最快8月中/9月</t>
        </is>
      </c>
      <c r="I32" s="160" t="n"/>
      <c r="J32" s="165" t="n"/>
      <c r="K32" s="165" t="n"/>
      <c r="L32" s="165" t="n"/>
      <c r="M32" s="165" t="n"/>
      <c r="N32" s="165" t="n"/>
      <c r="O32" s="165" t="n"/>
      <c r="P32" s="165" t="n"/>
      <c r="Q32" s="165" t="n"/>
      <c r="R32" s="165" t="n"/>
      <c r="S32" s="165" t="n"/>
      <c r="T32" s="165" t="n"/>
    </row>
    <row r="33" ht="24" customHeight="1" s="97">
      <c r="A33" s="161" t="n"/>
      <c r="B33" s="124" t="n">
        <v>3</v>
      </c>
      <c r="C33" s="124" t="inlineStr">
        <is>
          <t>梁秋霞</t>
        </is>
      </c>
      <c r="D33" s="124" t="inlineStr">
        <is>
          <t>未知</t>
        </is>
      </c>
      <c r="E33" s="124" t="inlineStr">
        <is>
          <t xml:space="preserve"> 元宇宙剧场（35人/50人）
￥126-145万</t>
        </is>
      </c>
      <c r="F33" s="124" t="inlineStr">
        <is>
          <t>土耳其</t>
        </is>
      </c>
      <c r="G33" s="124" t="n"/>
      <c r="H33" s="159" t="inlineStr">
        <is>
          <t>看图是老场地改造，渠道商给他们规划，有一部分区域可以放我们元宇宙剧场，也简单在他们的图上标注上我们的两个版本发给CAD图
已报价：￥107-123万
计划月底来广州，邀约带过来门店体验
上线时间：未知</t>
        </is>
      </c>
      <c r="I33" s="160" t="n"/>
      <c r="J33" s="165" t="n"/>
      <c r="K33" s="165" t="n"/>
      <c r="L33" s="165" t="n"/>
      <c r="M33" s="165" t="n"/>
      <c r="N33" s="165" t="n"/>
      <c r="O33" s="165" t="n"/>
      <c r="P33" s="165" t="n"/>
      <c r="Q33" s="165" t="n"/>
      <c r="R33" s="165" t="n"/>
      <c r="S33" s="165" t="n"/>
      <c r="T33" s="165" t="n"/>
    </row>
    <row r="34" ht="24" customHeight="1" s="97">
      <c r="A34" s="161" t="n"/>
      <c r="B34" s="124" t="n">
        <v>4</v>
      </c>
      <c r="C34" s="124" t="inlineStr">
        <is>
          <t>梁秋霞</t>
        </is>
      </c>
      <c r="D34" s="124" t="inlineStr">
        <is>
          <t xml:space="preserve">长三角（湖州）AI科学馆
对接人：姚总 </t>
        </is>
      </c>
      <c r="E34" s="124" t="inlineStr">
        <is>
          <t>CS 4人版内容含枪 4万
3个月大空间内容  1万</t>
        </is>
      </c>
      <c r="F34" s="124" t="inlineStr">
        <is>
          <t>浙江湖州</t>
        </is>
      </c>
      <c r="G34" s="124" t="n"/>
      <c r="H34" s="159" t="inlineStr">
        <is>
          <t>国企单位，现有科学馆改造，意向XR大空间、卡丁车、飞行影院和元宇宙剧场，也发报价了。发视频和尺寸发现不合适，说是免费的科学馆不收钱，暂时先试运行不做大改造。再选4人版CS（买内容）或 10人XR大空间（租赁合作方式）</t>
        </is>
      </c>
      <c r="I34" s="160" t="n"/>
      <c r="J34" s="165" t="n"/>
      <c r="K34" s="165" t="n"/>
      <c r="L34" s="165" t="n"/>
      <c r="M34" s="165" t="n"/>
      <c r="N34" s="165" t="n"/>
      <c r="O34" s="165" t="n"/>
      <c r="P34" s="165" t="n"/>
      <c r="Q34" s="165" t="n"/>
      <c r="R34" s="165" t="n"/>
      <c r="S34" s="165" t="n"/>
      <c r="T34" s="165" t="n"/>
    </row>
    <row r="35" ht="24" customHeight="1" s="97">
      <c r="A35" s="161" t="n"/>
      <c r="B35" s="124" t="n">
        <v>5</v>
      </c>
      <c r="C35" s="124" t="inlineStr">
        <is>
          <t>梁秋霞</t>
        </is>
      </c>
      <c r="D35" s="124" t="inlineStr">
        <is>
          <t>北京国家图书馆，科技馆
对接人：萧然（渠道商）</t>
        </is>
      </c>
      <c r="E35" s="124" t="inlineStr">
        <is>
          <t>XR-CS 6人版/10人版
只出内容 
￥6万/10万</t>
        </is>
      </c>
      <c r="F35" s="124" t="inlineStr">
        <is>
          <t>北京海淀区</t>
        </is>
      </c>
      <c r="G35" s="124" t="n"/>
      <c r="H35" s="159" t="inlineStr">
        <is>
          <t>是个渠道商，说有项目放在北京图书馆和一个科技馆。要报价。发6人版和10人版。</t>
        </is>
      </c>
      <c r="I35" s="165" t="n"/>
      <c r="J35" s="165" t="n"/>
      <c r="K35" s="165" t="n"/>
      <c r="L35" s="165" t="n"/>
      <c r="M35" s="165" t="n"/>
      <c r="N35" s="165" t="n"/>
      <c r="O35" s="165" t="n"/>
      <c r="P35" s="165" t="n"/>
      <c r="Q35" s="165" t="n"/>
      <c r="R35" s="165" t="n"/>
      <c r="S35" s="165" t="n"/>
      <c r="T35" s="165" t="n"/>
    </row>
    <row r="36" ht="24" customHeight="1" s="97">
      <c r="A36" s="161" t="n"/>
      <c r="B36" s="124" t="n">
        <v>6</v>
      </c>
      <c r="C36" s="124" t="inlineStr">
        <is>
          <t>梁秋霞</t>
        </is>
      </c>
      <c r="D36" s="124" t="inlineStr">
        <is>
          <t>河北石家庄金棕榈国际影城（东山店）
对接人：田总 （渠道商）</t>
        </is>
      </c>
      <c r="E36" s="124" t="inlineStr">
        <is>
          <t>XR无限空间  10人版
￥18万</t>
        </is>
      </c>
      <c r="F36" s="124" t="inlineStr">
        <is>
          <t>河北石家庄</t>
        </is>
      </c>
      <c r="G36" s="124" t="n"/>
      <c r="H36" s="159" t="inlineStr">
        <is>
          <t>最后一次跟进记录是4月27日，箐萍发了资料和简短影片视频，也报价10人版无限空间一体机价格，市场价 25万，渠道价报出去是18万，渠道商反馈业主消防不通过就没有其他记录了。昨天电话沟通收刚最近跟业主方谈到这事，我们也凑巧来找他，他再去问问进度回复我。同步我问了项目名称说备案做保护避免业主来询价。</t>
        </is>
      </c>
      <c r="I36" s="165" t="n"/>
      <c r="J36" s="165" t="n"/>
      <c r="K36" s="165" t="n"/>
      <c r="L36" s="165" t="n"/>
      <c r="M36" s="165" t="n"/>
      <c r="N36" s="165" t="n"/>
      <c r="O36" s="165" t="n"/>
      <c r="P36" s="165" t="n"/>
      <c r="Q36" s="165" t="n"/>
      <c r="R36" s="165" t="n"/>
      <c r="S36" s="165" t="n"/>
      <c r="T36" s="165" t="n"/>
    </row>
    <row r="37" ht="28" customHeight="1" s="97">
      <c r="A37" s="161" t="n"/>
      <c r="B37" s="120" t="inlineStr">
        <is>
          <t>个人月度合计：</t>
        </is>
      </c>
      <c r="C37" s="156" t="n"/>
      <c r="D37" s="156" t="n"/>
      <c r="E37" s="156" t="n"/>
      <c r="F37" s="156" t="n"/>
      <c r="G37" s="156" t="n"/>
      <c r="H37" s="157" t="n"/>
      <c r="I37" s="164">
        <f>SUM(I31:I36)</f>
        <v/>
      </c>
      <c r="J37" s="164">
        <f>SUM(J31:J36)</f>
        <v/>
      </c>
      <c r="K37" s="164">
        <f>SUM(K31:K36)</f>
        <v/>
      </c>
      <c r="L37" s="164">
        <f>SUM(L31:L36)</f>
        <v/>
      </c>
      <c r="M37" s="164">
        <f>SUM(M31:M36)</f>
        <v/>
      </c>
      <c r="N37" s="164">
        <f>SUM(N31:N36)</f>
        <v/>
      </c>
      <c r="O37" s="164">
        <f>SUM(O31:O36)</f>
        <v/>
      </c>
      <c r="P37" s="164">
        <f>SUM(P31:P36)</f>
        <v/>
      </c>
      <c r="Q37" s="164">
        <f>SUM(Q31:Q36)</f>
        <v/>
      </c>
      <c r="R37" s="164">
        <f>SUM(R31:R36)</f>
        <v/>
      </c>
      <c r="S37" s="164">
        <f>SUM(S31:S36)</f>
        <v/>
      </c>
      <c r="T37" s="164">
        <f>SUM(T31:T36)</f>
        <v/>
      </c>
    </row>
    <row r="38" ht="28" customHeight="1" s="97">
      <c r="A38" s="161" t="n"/>
      <c r="B38" s="120" t="inlineStr">
        <is>
          <t>个人季度合计：</t>
        </is>
      </c>
      <c r="C38" s="156" t="n"/>
      <c r="D38" s="156" t="n"/>
      <c r="E38" s="156" t="n"/>
      <c r="F38" s="156" t="n"/>
      <c r="G38" s="156" t="n"/>
      <c r="H38" s="157" t="n"/>
      <c r="I38" s="164">
        <f>SUM(I37:K37)</f>
        <v/>
      </c>
      <c r="J38" s="156" t="n"/>
      <c r="K38" s="157" t="n"/>
      <c r="L38" s="164">
        <f>SUM(L37:N37)</f>
        <v/>
      </c>
      <c r="M38" s="156" t="n"/>
      <c r="N38" s="157" t="n"/>
      <c r="O38" s="164">
        <f>SUM(O37:Q37)</f>
        <v/>
      </c>
      <c r="P38" s="156" t="n"/>
      <c r="Q38" s="157" t="n"/>
      <c r="R38" s="164">
        <f>SUM(R37:T37)</f>
        <v/>
      </c>
      <c r="S38" s="156" t="n"/>
      <c r="T38" s="157" t="n"/>
    </row>
    <row r="39" ht="28" customHeight="1" s="97">
      <c r="A39" s="161" t="n"/>
      <c r="B39" s="120" t="inlineStr">
        <is>
          <t>个人年度合计：</t>
        </is>
      </c>
      <c r="C39" s="156" t="n"/>
      <c r="D39" s="156" t="n"/>
      <c r="E39" s="156" t="n"/>
      <c r="F39" s="156" t="n"/>
      <c r="G39" s="156" t="n"/>
      <c r="H39" s="157" t="n"/>
      <c r="I39" s="164">
        <f>SUM(I37:T37)</f>
        <v/>
      </c>
      <c r="J39" s="156" t="n"/>
      <c r="K39" s="156" t="n"/>
      <c r="L39" s="156" t="n"/>
      <c r="M39" s="156" t="n"/>
      <c r="N39" s="156" t="n"/>
      <c r="O39" s="156" t="n"/>
      <c r="P39" s="156" t="n"/>
      <c r="Q39" s="156" t="n"/>
      <c r="R39" s="156" t="n"/>
      <c r="S39" s="156" t="n"/>
      <c r="T39" s="157" t="n"/>
    </row>
    <row r="40" ht="18" customHeight="1" s="97">
      <c r="A40" s="161" t="n"/>
      <c r="B40" s="124" t="n"/>
      <c r="C40" s="156" t="n"/>
      <c r="D40" s="156" t="n"/>
      <c r="E40" s="156" t="n"/>
      <c r="F40" s="156" t="n"/>
      <c r="G40" s="156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56" t="n"/>
      <c r="Q40" s="156" t="n"/>
      <c r="R40" s="156" t="n"/>
      <c r="S40" s="156" t="n"/>
      <c r="T40" s="157" t="n"/>
    </row>
    <row r="41" ht="24" customHeight="1" s="97">
      <c r="A41" s="161" t="n"/>
      <c r="B41" s="124" t="n">
        <v>1</v>
      </c>
      <c r="C41" s="124" t="inlineStr">
        <is>
          <t>李雷</t>
        </is>
      </c>
      <c r="D41" s="124" t="inlineStr">
        <is>
          <t>梁俊玲</t>
        </is>
      </c>
      <c r="E41" s="124" t="inlineStr">
        <is>
          <t>飞行影院标准影片</t>
        </is>
      </c>
      <c r="F41" s="124" t="inlineStr">
        <is>
          <t>长治</t>
        </is>
      </c>
      <c r="G41" s="124" t="n"/>
      <c r="H41" s="159" t="n"/>
      <c r="I41" s="160" t="n"/>
      <c r="J41" s="165" t="n"/>
      <c r="K41" s="165" t="n"/>
      <c r="L41" s="165" t="n"/>
      <c r="M41" s="165" t="n"/>
      <c r="N41" s="165" t="n"/>
      <c r="O41" s="165" t="n"/>
      <c r="P41" s="165" t="n"/>
      <c r="Q41" s="165" t="n"/>
      <c r="R41" s="165" t="n"/>
      <c r="S41" s="165" t="n"/>
      <c r="T41" s="165" t="n"/>
    </row>
    <row r="42" ht="24" customHeight="1" s="97">
      <c r="A42" s="161" t="n"/>
      <c r="B42" s="124" t="n">
        <v>2</v>
      </c>
      <c r="C42" s="124" t="inlineStr">
        <is>
          <t>李雷</t>
        </is>
      </c>
      <c r="D42" s="124" t="inlineStr">
        <is>
          <t>伍工</t>
        </is>
      </c>
      <c r="E42" s="124" t="inlineStr">
        <is>
          <t>互动软件定制</t>
        </is>
      </c>
      <c r="F42" s="124" t="inlineStr">
        <is>
          <t>成都</t>
        </is>
      </c>
      <c r="G42" s="124" t="n"/>
      <c r="H42" s="159" t="n"/>
      <c r="I42" s="160" t="n"/>
      <c r="J42" s="165" t="n"/>
      <c r="K42" s="165" t="n"/>
      <c r="L42" s="165" t="n"/>
      <c r="M42" s="165" t="n"/>
      <c r="N42" s="165" t="n"/>
      <c r="O42" s="165" t="n"/>
      <c r="P42" s="165" t="n"/>
      <c r="Q42" s="165" t="n"/>
      <c r="R42" s="165" t="n"/>
      <c r="S42" s="165" t="n"/>
      <c r="T42" s="165" t="n"/>
    </row>
    <row r="43" ht="24" customHeight="1" s="97">
      <c r="A43" s="161" t="n"/>
      <c r="B43" s="124" t="n">
        <v>3</v>
      </c>
      <c r="C43" s="124" t="inlineStr">
        <is>
          <t>李雷</t>
        </is>
      </c>
      <c r="D43" s="124" t="inlineStr">
        <is>
          <t>李哲</t>
        </is>
      </c>
      <c r="E43" s="124" t="inlineStr">
        <is>
          <t>外贸经纪</t>
        </is>
      </c>
      <c r="F43" s="124" t="inlineStr">
        <is>
          <t>中山</t>
        </is>
      </c>
      <c r="G43" s="124" t="n"/>
      <c r="H43" s="159" t="n"/>
      <c r="I43" s="160" t="n"/>
      <c r="J43" s="165" t="n"/>
      <c r="K43" s="165" t="n"/>
      <c r="L43" s="165" t="n"/>
      <c r="M43" s="165" t="n"/>
      <c r="N43" s="165" t="n"/>
      <c r="O43" s="165" t="n"/>
      <c r="P43" s="165" t="n"/>
      <c r="Q43" s="165" t="n"/>
      <c r="R43" s="165" t="n"/>
      <c r="S43" s="165" t="n"/>
      <c r="T43" s="165" t="n"/>
    </row>
    <row r="44" ht="28" customHeight="1" s="97">
      <c r="A44" s="161" t="n"/>
      <c r="B44" s="120" t="inlineStr">
        <is>
          <t>个人月度合计：</t>
        </is>
      </c>
      <c r="C44" s="156" t="n"/>
      <c r="D44" s="156" t="n"/>
      <c r="E44" s="156" t="n"/>
      <c r="F44" s="156" t="n"/>
      <c r="G44" s="156" t="n"/>
      <c r="H44" s="157" t="n"/>
      <c r="I44" s="164">
        <f>SUM(I41:I43)</f>
        <v/>
      </c>
      <c r="J44" s="164">
        <f>SUM(J41:J43)</f>
        <v/>
      </c>
      <c r="K44" s="164">
        <f>SUM(K41:K43)</f>
        <v/>
      </c>
      <c r="L44" s="164">
        <f>SUM(L41:L43)</f>
        <v/>
      </c>
      <c r="M44" s="164">
        <f>SUM(M41:M43)</f>
        <v/>
      </c>
      <c r="N44" s="164">
        <f>SUM(N41:N43)</f>
        <v/>
      </c>
      <c r="O44" s="164">
        <f>SUM(O41:O43)</f>
        <v/>
      </c>
      <c r="P44" s="164">
        <f>SUM(P41:P43)</f>
        <v/>
      </c>
      <c r="Q44" s="164">
        <f>SUM(Q41:Q43)</f>
        <v/>
      </c>
      <c r="R44" s="164">
        <f>SUM(R41:R43)</f>
        <v/>
      </c>
      <c r="S44" s="164">
        <f>SUM(S41:S43)</f>
        <v/>
      </c>
      <c r="T44" s="164">
        <f>SUM(T41:T43)</f>
        <v/>
      </c>
    </row>
    <row r="45" ht="28" customHeight="1" s="97">
      <c r="A45" s="161" t="n"/>
      <c r="B45" s="120" t="inlineStr">
        <is>
          <t>个人季度合计：</t>
        </is>
      </c>
      <c r="C45" s="156" t="n"/>
      <c r="D45" s="156" t="n"/>
      <c r="E45" s="156" t="n"/>
      <c r="F45" s="156" t="n"/>
      <c r="G45" s="156" t="n"/>
      <c r="H45" s="157" t="n"/>
      <c r="I45" s="164">
        <f>SUM(I44:K44)</f>
        <v/>
      </c>
      <c r="J45" s="156" t="n"/>
      <c r="K45" s="157" t="n"/>
      <c r="L45" s="164">
        <f>SUM(L44:N44)</f>
        <v/>
      </c>
      <c r="M45" s="156" t="n"/>
      <c r="N45" s="157" t="n"/>
      <c r="O45" s="164">
        <f>SUM(O44:Q44)</f>
        <v/>
      </c>
      <c r="P45" s="156" t="n"/>
      <c r="Q45" s="157" t="n"/>
      <c r="R45" s="164">
        <f>SUM(R44:T44)</f>
        <v/>
      </c>
      <c r="S45" s="156" t="n"/>
      <c r="T45" s="157" t="n"/>
    </row>
    <row r="46" ht="28" customHeight="1" s="97">
      <c r="A46" s="161" t="n"/>
      <c r="B46" s="120" t="inlineStr">
        <is>
          <t>个人年度合计：</t>
        </is>
      </c>
      <c r="C46" s="156" t="n"/>
      <c r="D46" s="156" t="n"/>
      <c r="E46" s="156" t="n"/>
      <c r="F46" s="156" t="n"/>
      <c r="G46" s="156" t="n"/>
      <c r="H46" s="157" t="n"/>
      <c r="I46" s="164">
        <f>SUM(I44:T44)</f>
        <v/>
      </c>
      <c r="J46" s="156" t="n"/>
      <c r="K46" s="156" t="n"/>
      <c r="L46" s="156" t="n"/>
      <c r="M46" s="156" t="n"/>
      <c r="N46" s="156" t="n"/>
      <c r="O46" s="156" t="n"/>
      <c r="P46" s="156" t="n"/>
      <c r="Q46" s="156" t="n"/>
      <c r="R46" s="156" t="n"/>
      <c r="S46" s="156" t="n"/>
      <c r="T46" s="157" t="n"/>
    </row>
    <row r="47" ht="18" customHeight="1" s="97">
      <c r="A47" s="161" t="n"/>
      <c r="B47" s="124" t="n"/>
      <c r="C47" s="156" t="n"/>
      <c r="D47" s="156" t="n"/>
      <c r="E47" s="156" t="n"/>
      <c r="F47" s="156" t="n"/>
      <c r="G47" s="156" t="n"/>
      <c r="H47" s="156" t="n"/>
      <c r="I47" s="156" t="n"/>
      <c r="J47" s="156" t="n"/>
      <c r="K47" s="156" t="n"/>
      <c r="L47" s="156" t="n"/>
      <c r="M47" s="156" t="n"/>
      <c r="N47" s="156" t="n"/>
      <c r="O47" s="156" t="n"/>
      <c r="P47" s="156" t="n"/>
      <c r="Q47" s="156" t="n"/>
      <c r="R47" s="156" t="n"/>
      <c r="S47" s="156" t="n"/>
      <c r="T47" s="157" t="n"/>
    </row>
    <row r="48" ht="28" customHeight="1" s="97">
      <c r="A48" s="161" t="n"/>
      <c r="B48" s="145" t="inlineStr">
        <is>
          <t>小组月度合计：</t>
        </is>
      </c>
      <c r="C48" s="156" t="n"/>
      <c r="D48" s="156" t="n"/>
      <c r="E48" s="156" t="n"/>
      <c r="F48" s="156" t="n"/>
      <c r="G48" s="156" t="n"/>
      <c r="H48" s="157" t="n"/>
      <c r="I48" s="166">
        <f>SUM(I20,I27,I37,I44)</f>
        <v/>
      </c>
      <c r="J48" s="166">
        <f>SUM(J20,J27,J37,J44)</f>
        <v/>
      </c>
      <c r="K48" s="166">
        <f>SUM(K20,K27,K37,K44)</f>
        <v/>
      </c>
      <c r="L48" s="166">
        <f>SUM(L20,L27,L37,L44)</f>
        <v/>
      </c>
      <c r="M48" s="166">
        <f>SUM(M20,M27,M37,M44)</f>
        <v/>
      </c>
      <c r="N48" s="166">
        <f>SUM(N20,N27,N37,N44)</f>
        <v/>
      </c>
      <c r="O48" s="166">
        <f>SUM(O20,O27,O37,O44)</f>
        <v/>
      </c>
      <c r="P48" s="166">
        <f>SUM(P20,P27,P37,P44)</f>
        <v/>
      </c>
      <c r="Q48" s="166">
        <f>SUM(Q20,Q27,Q37,Q44)</f>
        <v/>
      </c>
      <c r="R48" s="166">
        <f>SUM(R20,R27,R37,R44)</f>
        <v/>
      </c>
      <c r="S48" s="166">
        <f>SUM(S20,S27,S37,S44)</f>
        <v/>
      </c>
      <c r="T48" s="166">
        <f>SUM(T20,T27,T37,T44)</f>
        <v/>
      </c>
    </row>
    <row r="49" ht="28" customHeight="1" s="97">
      <c r="A49" s="161" t="n"/>
      <c r="B49" s="145" t="inlineStr">
        <is>
          <t>小组季度合计：</t>
        </is>
      </c>
      <c r="C49" s="156" t="n"/>
      <c r="D49" s="156" t="n"/>
      <c r="E49" s="156" t="n"/>
      <c r="F49" s="156" t="n"/>
      <c r="G49" s="156" t="n"/>
      <c r="H49" s="157" t="n"/>
      <c r="I49" s="166">
        <f>SUM(I48:K48)</f>
        <v/>
      </c>
      <c r="J49" s="156" t="n"/>
      <c r="K49" s="157" t="n"/>
      <c r="L49" s="166">
        <f>SUM(L48:N48)</f>
        <v/>
      </c>
      <c r="M49" s="156" t="n"/>
      <c r="N49" s="157" t="n"/>
      <c r="O49" s="166">
        <f>SUM(O48:Q48)</f>
        <v/>
      </c>
      <c r="P49" s="156" t="n"/>
      <c r="Q49" s="157" t="n"/>
      <c r="R49" s="166">
        <f>SUM(R48:T48)</f>
        <v/>
      </c>
      <c r="S49" s="156" t="n"/>
      <c r="T49" s="157" t="n"/>
    </row>
    <row r="50" ht="28" customHeight="1" s="97">
      <c r="A50" s="158" t="n"/>
      <c r="B50" s="145" t="inlineStr">
        <is>
          <t>小组年度合计：</t>
        </is>
      </c>
      <c r="C50" s="156" t="n"/>
      <c r="D50" s="156" t="n"/>
      <c r="E50" s="156" t="n"/>
      <c r="F50" s="156" t="n"/>
      <c r="G50" s="156" t="n"/>
      <c r="H50" s="157" t="n"/>
      <c r="I50" s="166">
        <f>SUM(I48:T48)</f>
        <v/>
      </c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  <c r="S50" s="156" t="n"/>
      <c r="T50" s="157" t="n"/>
    </row>
    <row r="51" ht="18" customHeight="1" s="97">
      <c r="A51" s="147" t="n"/>
      <c r="B51" s="156" t="n"/>
      <c r="C51" s="156" t="n"/>
      <c r="D51" s="156" t="n"/>
      <c r="E51" s="156" t="n"/>
      <c r="F51" s="156" t="n"/>
      <c r="G51" s="156" t="n"/>
      <c r="H51" s="156" t="n"/>
      <c r="I51" s="156" t="n"/>
      <c r="J51" s="156" t="n"/>
      <c r="K51" s="156" t="n"/>
      <c r="L51" s="156" t="n"/>
      <c r="M51" s="156" t="n"/>
      <c r="N51" s="156" t="n"/>
      <c r="O51" s="156" t="n"/>
      <c r="P51" s="156" t="n"/>
      <c r="Q51" s="156" t="n"/>
      <c r="R51" s="156" t="n"/>
      <c r="S51" s="156" t="n"/>
      <c r="T51" s="157" t="n"/>
    </row>
    <row r="52" ht="24" customHeight="1" s="97">
      <c r="A52" s="167" t="inlineStr">
        <is>
          <t>傲翔组</t>
        </is>
      </c>
      <c r="B52" s="124" t="n">
        <v>1</v>
      </c>
      <c r="C52" s="117" t="inlineStr">
        <is>
          <t>吴傲翔</t>
        </is>
      </c>
      <c r="D52" s="117" t="inlineStr">
        <is>
          <t>菲律宾-吉米哥</t>
        </is>
      </c>
      <c r="E52" s="117" t="inlineStr">
        <is>
          <t>补充协议</t>
        </is>
      </c>
      <c r="F52" s="117" t="inlineStr">
        <is>
          <t>菲律宾马尼拉</t>
        </is>
      </c>
      <c r="G52" s="124" t="n"/>
      <c r="H52" s="168" t="inlineStr">
        <is>
          <t>2月签有回款</t>
        </is>
      </c>
      <c r="I52" s="169" t="n"/>
      <c r="J52" s="169" t="n">
        <v>18700</v>
      </c>
      <c r="K52" s="169" t="n"/>
      <c r="L52" s="169" t="n"/>
      <c r="M52" s="169" t="n"/>
      <c r="N52" s="169" t="n"/>
      <c r="O52" s="169" t="n"/>
      <c r="P52" s="169" t="n"/>
      <c r="Q52" s="169" t="n"/>
      <c r="R52" s="169" t="n"/>
      <c r="S52" s="169" t="n"/>
      <c r="T52" s="169" t="n"/>
    </row>
    <row r="53" ht="24" customHeight="1" s="97">
      <c r="A53" s="161" t="n"/>
      <c r="B53" s="124" t="n">
        <v>2</v>
      </c>
      <c r="C53" s="117" t="inlineStr">
        <is>
          <t>吴傲翔</t>
        </is>
      </c>
      <c r="D53" s="117" t="inlineStr">
        <is>
          <t>龙程</t>
        </is>
      </c>
      <c r="E53" s="117" t="inlineStr">
        <is>
          <t>大空间买断</t>
        </is>
      </c>
      <c r="F53" s="117" t="inlineStr">
        <is>
          <t>湖北宜昌</t>
        </is>
      </c>
      <c r="G53" s="117" t="n"/>
      <c r="H53" s="168" t="inlineStr">
        <is>
          <t>3月签并有回款</t>
        </is>
      </c>
      <c r="I53" s="169" t="n"/>
      <c r="J53" s="169" t="n"/>
      <c r="K53" s="169" t="n">
        <v>170000</v>
      </c>
      <c r="L53" s="169" t="n"/>
      <c r="M53" s="169" t="n"/>
      <c r="N53" s="169" t="n"/>
      <c r="O53" s="169" t="n"/>
      <c r="P53" s="169" t="n"/>
      <c r="Q53" s="169" t="n"/>
      <c r="R53" s="169" t="n"/>
      <c r="S53" s="169" t="n"/>
      <c r="T53" s="169" t="n"/>
    </row>
    <row r="54" ht="24" customHeight="1" s="97">
      <c r="A54" s="161" t="n"/>
      <c r="B54" s="124" t="n">
        <v>3</v>
      </c>
      <c r="C54" s="117" t="inlineStr">
        <is>
          <t>吴傲翔</t>
        </is>
      </c>
      <c r="D54" s="117" t="inlineStr">
        <is>
          <t>广州策源电子科技有限公司</t>
        </is>
      </c>
      <c r="E54" s="117" t="inlineStr">
        <is>
          <t>设备维修</t>
        </is>
      </c>
      <c r="F54" s="117" t="n"/>
      <c r="G54" s="117" t="n"/>
      <c r="H54" s="168" t="inlineStr">
        <is>
          <t>4月签并有回款</t>
        </is>
      </c>
      <c r="I54" s="169" t="n"/>
      <c r="J54" s="169" t="n"/>
      <c r="K54" s="169" t="n"/>
      <c r="L54" s="169" t="n">
        <v>4050</v>
      </c>
      <c r="M54" s="169" t="n"/>
      <c r="N54" s="169" t="n"/>
      <c r="O54" s="169" t="n"/>
      <c r="P54" s="169" t="n"/>
      <c r="Q54" s="169" t="n"/>
      <c r="R54" s="169" t="n"/>
      <c r="S54" s="169" t="n"/>
      <c r="T54" s="169" t="n"/>
    </row>
    <row r="55" ht="24" customHeight="1" s="97">
      <c r="A55" s="161" t="n"/>
      <c r="B55" s="124" t="n">
        <v>4</v>
      </c>
      <c r="C55" s="117" t="inlineStr">
        <is>
          <t>吴傲翔</t>
        </is>
      </c>
      <c r="D55" s="117" t="inlineStr">
        <is>
          <t>卓远</t>
        </is>
      </c>
      <c r="E55" s="117" t="inlineStr">
        <is>
          <t>影片渲染</t>
        </is>
      </c>
      <c r="F55" s="117" t="n"/>
      <c r="G55" s="117" t="n"/>
      <c r="H55" s="168" t="inlineStr">
        <is>
          <t>4月签并有回款</t>
        </is>
      </c>
      <c r="I55" s="169" t="n"/>
      <c r="J55" s="169" t="n"/>
      <c r="K55" s="169" t="n"/>
      <c r="L55" s="169" t="n">
        <v>5000</v>
      </c>
      <c r="M55" s="169" t="n"/>
      <c r="N55" s="169" t="n"/>
      <c r="O55" s="169" t="n"/>
      <c r="P55" s="169" t="n"/>
      <c r="Q55" s="169" t="n"/>
      <c r="R55" s="169" t="n"/>
      <c r="S55" s="169" t="n"/>
      <c r="T55" s="169" t="n"/>
    </row>
    <row r="56" ht="24" customHeight="1" s="97">
      <c r="A56" s="161" t="n"/>
      <c r="B56" s="124" t="n">
        <v>5</v>
      </c>
      <c r="C56" s="117" t="inlineStr">
        <is>
          <t>吴傲翔</t>
        </is>
      </c>
      <c r="D56" s="117" t="inlineStr">
        <is>
          <t>卓远</t>
        </is>
      </c>
      <c r="E56" s="117" t="inlineStr">
        <is>
          <t>元宇宙剧场播控费用</t>
        </is>
      </c>
      <c r="F56" s="117" t="n"/>
      <c r="G56" s="117" t="n"/>
      <c r="H56" s="168" t="inlineStr">
        <is>
          <t>4月签并有回款</t>
        </is>
      </c>
      <c r="I56" s="169" t="n"/>
      <c r="J56" s="169" t="n"/>
      <c r="K56" s="169" t="n"/>
      <c r="L56" s="169" t="n">
        <v>10000</v>
      </c>
      <c r="M56" s="169" t="n"/>
      <c r="N56" s="169" t="n"/>
      <c r="O56" s="169" t="n"/>
      <c r="P56" s="169" t="n"/>
      <c r="Q56" s="169" t="n"/>
      <c r="R56" s="169" t="n"/>
      <c r="S56" s="169" t="n"/>
      <c r="T56" s="169" t="n"/>
    </row>
    <row r="57" ht="24" customHeight="1" s="97">
      <c r="A57" s="161" t="n"/>
      <c r="B57" s="124" t="n">
        <v>6</v>
      </c>
      <c r="C57" s="117" t="inlineStr">
        <is>
          <t>吴傲翔</t>
        </is>
      </c>
      <c r="D57" s="117" t="inlineStr">
        <is>
          <t>上海缘映</t>
        </is>
      </c>
      <c r="E57" s="117" t="inlineStr">
        <is>
          <t>标准影片</t>
        </is>
      </c>
      <c r="F57" s="117" t="inlineStr">
        <is>
          <t>深圳科技馆</t>
        </is>
      </c>
      <c r="G57" s="117" t="n"/>
      <c r="H57" s="168" t="inlineStr">
        <is>
          <t>7月签并有回款</t>
        </is>
      </c>
      <c r="I57" s="169" t="n"/>
      <c r="J57" s="169" t="n"/>
      <c r="K57" s="169" t="n"/>
      <c r="L57" s="169" t="n"/>
      <c r="M57" s="169" t="n"/>
      <c r="N57" s="169" t="n"/>
      <c r="O57" s="169" t="n">
        <v>60000</v>
      </c>
      <c r="P57" s="169" t="n"/>
      <c r="Q57" s="169" t="n"/>
      <c r="R57" s="169" t="n"/>
      <c r="S57" s="169" t="n"/>
      <c r="T57" s="169" t="n"/>
    </row>
    <row r="58" ht="24" customHeight="1" s="97">
      <c r="A58" s="161" t="n"/>
      <c r="B58" s="124" t="n">
        <v>7</v>
      </c>
      <c r="C58" s="124" t="inlineStr">
        <is>
          <t>吴傲翔</t>
        </is>
      </c>
      <c r="D58" s="124" t="inlineStr">
        <is>
          <t>卓远</t>
        </is>
      </c>
      <c r="E58" s="124" t="inlineStr">
        <is>
          <t>直角元宇宙剧场</t>
        </is>
      </c>
      <c r="F58" s="124" t="n"/>
      <c r="G58" s="124" t="n"/>
      <c r="H58" s="159" t="inlineStr">
        <is>
          <t>本月出结果，45万</t>
        </is>
      </c>
      <c r="I58" s="160" t="n"/>
      <c r="J58" s="160" t="n"/>
      <c r="K58" s="160" t="n"/>
      <c r="L58" s="160" t="n"/>
      <c r="M58" s="160" t="n"/>
      <c r="N58" s="160" t="n"/>
      <c r="O58" s="160" t="n"/>
      <c r="P58" s="160" t="n"/>
      <c r="Q58" s="160" t="n"/>
      <c r="R58" s="160" t="n"/>
      <c r="S58" s="160" t="n"/>
      <c r="T58" s="160" t="n"/>
    </row>
    <row r="59" ht="24" customHeight="1" s="97">
      <c r="A59" s="161" t="n"/>
      <c r="B59" s="124" t="n">
        <v>8</v>
      </c>
      <c r="C59" s="124" t="inlineStr">
        <is>
          <t>吴傲翔</t>
        </is>
      </c>
      <c r="D59" s="124" t="inlineStr">
        <is>
          <t>福建角美</t>
        </is>
      </c>
      <c r="E59" s="124" t="inlineStr">
        <is>
          <t>内容定制</t>
        </is>
      </c>
      <c r="F59" s="124" t="inlineStr">
        <is>
          <t>福建</t>
        </is>
      </c>
      <c r="G59" s="124" t="n"/>
      <c r="H59" s="159" t="inlineStr">
        <is>
          <t>金额待定-项目申报阶段</t>
        </is>
      </c>
      <c r="I59" s="160" t="n"/>
      <c r="J59" s="160" t="n"/>
      <c r="K59" s="160" t="n"/>
      <c r="L59" s="160" t="n"/>
      <c r="M59" s="160" t="n"/>
      <c r="N59" s="160" t="n"/>
      <c r="O59" s="160" t="n"/>
      <c r="P59" s="160" t="n"/>
      <c r="Q59" s="160" t="n"/>
      <c r="R59" s="160" t="n"/>
      <c r="S59" s="160" t="n"/>
      <c r="T59" s="160" t="n"/>
    </row>
    <row r="60" ht="24" customHeight="1" s="97">
      <c r="A60" s="161" t="n"/>
      <c r="B60" s="124" t="n">
        <v>9</v>
      </c>
      <c r="C60" s="124" t="inlineStr">
        <is>
          <t>吴傲翔</t>
        </is>
      </c>
      <c r="D60" s="124" t="inlineStr">
        <is>
          <t>卓远</t>
        </is>
      </c>
      <c r="E60" s="124" t="inlineStr">
        <is>
          <t>20人无限空间（需要招投标）</t>
        </is>
      </c>
      <c r="F60" s="124" t="inlineStr">
        <is>
          <t>南京旅游职业学院</t>
        </is>
      </c>
      <c r="G60" s="124" t="n"/>
      <c r="H60" s="159" t="inlineStr">
        <is>
          <t>预计7月份，32w</t>
        </is>
      </c>
      <c r="I60" s="160" t="n"/>
      <c r="J60" s="160" t="n"/>
      <c r="K60" s="160" t="n"/>
      <c r="L60" s="160" t="n"/>
      <c r="M60" s="160" t="n"/>
      <c r="N60" s="160" t="n"/>
      <c r="O60" s="160" t="n"/>
      <c r="P60" s="160" t="n"/>
      <c r="Q60" s="160" t="n"/>
      <c r="R60" s="160" t="n"/>
      <c r="S60" s="160" t="n"/>
      <c r="T60" s="160" t="n"/>
    </row>
    <row r="61" ht="24" customHeight="1" s="97">
      <c r="A61" s="161" t="n"/>
      <c r="B61" s="124" t="n">
        <v>10</v>
      </c>
      <c r="C61" s="124" t="inlineStr">
        <is>
          <t>吴傲翔</t>
        </is>
      </c>
      <c r="D61" s="124" t="inlineStr">
        <is>
          <t>风信子王总</t>
        </is>
      </c>
      <c r="E61" s="124" t="inlineStr">
        <is>
          <t>标准影片</t>
        </is>
      </c>
      <c r="F61" s="124" t="n"/>
      <c r="G61" s="124" t="n"/>
      <c r="H61" s="159" t="inlineStr">
        <is>
          <t>8w，跟进中</t>
        </is>
      </c>
      <c r="I61" s="160" t="n"/>
      <c r="J61" s="160" t="n"/>
      <c r="K61" s="160" t="n"/>
      <c r="L61" s="160" t="n"/>
      <c r="M61" s="160" t="n"/>
      <c r="N61" s="160" t="n"/>
      <c r="O61" s="160" t="n"/>
      <c r="P61" s="160" t="n"/>
      <c r="Q61" s="160" t="n"/>
      <c r="R61" s="160" t="n"/>
      <c r="S61" s="160" t="n"/>
      <c r="T61" s="160" t="n"/>
    </row>
    <row r="62" ht="24" customHeight="1" s="97">
      <c r="A62" s="161" t="n"/>
      <c r="B62" s="124" t="n">
        <v>11</v>
      </c>
      <c r="C62" s="124" t="inlineStr">
        <is>
          <t>吴傲翔</t>
        </is>
      </c>
      <c r="D62" s="124" t="inlineStr">
        <is>
          <t>王屋山，李超</t>
        </is>
      </c>
      <c r="E62" s="124" t="inlineStr">
        <is>
          <t>24人斜扣球幕+定制内容</t>
        </is>
      </c>
      <c r="F62" s="117" t="n"/>
      <c r="G62" s="117" t="n"/>
      <c r="H62" s="168" t="n"/>
      <c r="I62" s="169" t="n"/>
      <c r="J62" s="169" t="n"/>
      <c r="K62" s="169" t="n"/>
      <c r="L62" s="169" t="n"/>
      <c r="M62" s="169" t="n"/>
      <c r="N62" s="169" t="n"/>
      <c r="O62" s="169" t="n"/>
      <c r="P62" s="169" t="n"/>
      <c r="Q62" s="169" t="n"/>
      <c r="R62" s="169" t="n"/>
      <c r="S62" s="169" t="n"/>
      <c r="T62" s="169" t="n"/>
    </row>
    <row r="63" ht="28" customHeight="1" s="97">
      <c r="A63" s="161" t="n"/>
      <c r="B63" s="120" t="inlineStr">
        <is>
          <t>个人月度合计：</t>
        </is>
      </c>
      <c r="C63" s="156" t="n"/>
      <c r="D63" s="156" t="n"/>
      <c r="E63" s="156" t="n"/>
      <c r="F63" s="156" t="n"/>
      <c r="G63" s="156" t="n"/>
      <c r="H63" s="157" t="n"/>
      <c r="I63" s="164">
        <f>SUM(I52:I62)</f>
        <v/>
      </c>
      <c r="J63" s="164">
        <f>SUM(J52:J62)</f>
        <v/>
      </c>
      <c r="K63" s="164">
        <f>SUM(K52:K62)</f>
        <v/>
      </c>
      <c r="L63" s="164">
        <f>SUM(L52:L62)</f>
        <v/>
      </c>
      <c r="M63" s="164">
        <f>SUM(M52:M62)</f>
        <v/>
      </c>
      <c r="N63" s="164">
        <f>SUM(N52:N62)</f>
        <v/>
      </c>
      <c r="O63" s="164">
        <f>SUM(O52:O62)</f>
        <v/>
      </c>
      <c r="P63" s="164">
        <f>SUM(P52:P62)</f>
        <v/>
      </c>
      <c r="Q63" s="164">
        <f>SUM(Q52:Q62)</f>
        <v/>
      </c>
      <c r="R63" s="164">
        <f>SUM(R52:R62)</f>
        <v/>
      </c>
      <c r="S63" s="164">
        <f>SUM(S52:S62)</f>
        <v/>
      </c>
      <c r="T63" s="164">
        <f>SUM(T52:T62)</f>
        <v/>
      </c>
    </row>
    <row r="64" ht="28" customHeight="1" s="97">
      <c r="A64" s="161" t="n"/>
      <c r="B64" s="120" t="inlineStr">
        <is>
          <t>个人季度合计：</t>
        </is>
      </c>
      <c r="C64" s="156" t="n"/>
      <c r="D64" s="156" t="n"/>
      <c r="E64" s="156" t="n"/>
      <c r="F64" s="156" t="n"/>
      <c r="G64" s="156" t="n"/>
      <c r="H64" s="157" t="n"/>
      <c r="I64" s="164">
        <f>SUM(I63:K63)</f>
        <v/>
      </c>
      <c r="J64" s="156" t="n"/>
      <c r="K64" s="157" t="n"/>
      <c r="L64" s="164">
        <f>SUM(L63:N63)</f>
        <v/>
      </c>
      <c r="M64" s="156" t="n"/>
      <c r="N64" s="157" t="n"/>
      <c r="O64" s="164">
        <f>SUM(O63:Q63)</f>
        <v/>
      </c>
      <c r="P64" s="156" t="n"/>
      <c r="Q64" s="157" t="n"/>
      <c r="R64" s="164">
        <f>SUM(R63:T63)</f>
        <v/>
      </c>
      <c r="S64" s="156" t="n"/>
      <c r="T64" s="157" t="n"/>
    </row>
    <row r="65" ht="28" customHeight="1" s="97">
      <c r="A65" s="161" t="n"/>
      <c r="B65" s="120" t="inlineStr">
        <is>
          <t>个人年度合计：</t>
        </is>
      </c>
      <c r="C65" s="156" t="n"/>
      <c r="D65" s="156" t="n"/>
      <c r="E65" s="156" t="n"/>
      <c r="F65" s="156" t="n"/>
      <c r="G65" s="156" t="n"/>
      <c r="H65" s="157" t="n"/>
      <c r="I65" s="164">
        <f>SUM(I63:T63)</f>
        <v/>
      </c>
      <c r="J65" s="156" t="n"/>
      <c r="K65" s="156" t="n"/>
      <c r="L65" s="156" t="n"/>
      <c r="M65" s="156" t="n"/>
      <c r="N65" s="156" t="n"/>
      <c r="O65" s="156" t="n"/>
      <c r="P65" s="156" t="n"/>
      <c r="Q65" s="156" t="n"/>
      <c r="R65" s="156" t="n"/>
      <c r="S65" s="156" t="n"/>
      <c r="T65" s="157" t="n"/>
    </row>
    <row r="66" ht="18" customHeight="1" s="97">
      <c r="A66" s="161" t="n"/>
      <c r="B66" s="124" t="n"/>
      <c r="C66" s="156" t="n"/>
      <c r="D66" s="156" t="n"/>
      <c r="E66" s="156" t="n"/>
      <c r="F66" s="156" t="n"/>
      <c r="G66" s="156" t="n"/>
      <c r="H66" s="156" t="n"/>
      <c r="I66" s="156" t="n"/>
      <c r="J66" s="156" t="n"/>
      <c r="K66" s="156" t="n"/>
      <c r="L66" s="156" t="n"/>
      <c r="M66" s="156" t="n"/>
      <c r="N66" s="156" t="n"/>
      <c r="O66" s="156" t="n"/>
      <c r="P66" s="156" t="n"/>
      <c r="Q66" s="156" t="n"/>
      <c r="R66" s="156" t="n"/>
      <c r="S66" s="156" t="n"/>
      <c r="T66" s="157" t="n"/>
    </row>
    <row r="67" ht="24" customHeight="1" s="97">
      <c r="A67" s="161" t="n"/>
      <c r="B67" s="124" t="n">
        <v>1</v>
      </c>
      <c r="C67" s="117" t="inlineStr">
        <is>
          <t>于永强</t>
        </is>
      </c>
      <c r="D67" s="117" t="inlineStr">
        <is>
          <t>杭州煜形科技有限公司</t>
        </is>
      </c>
      <c r="E67" s="117" t="inlineStr">
        <is>
          <t>标准影片</t>
        </is>
      </c>
      <c r="F67" s="117" t="inlineStr">
        <is>
          <t>杭州</t>
        </is>
      </c>
      <c r="G67" s="117" t="n"/>
      <c r="H67" s="168" t="inlineStr">
        <is>
          <t>2月签并回款</t>
        </is>
      </c>
      <c r="I67" s="169" t="n"/>
      <c r="J67" s="169" t="n">
        <v>85000</v>
      </c>
      <c r="K67" s="169" t="n"/>
      <c r="L67" s="169" t="n"/>
      <c r="M67" s="169" t="n"/>
      <c r="N67" s="169" t="n"/>
      <c r="O67" s="169" t="n"/>
      <c r="P67" s="169" t="n"/>
      <c r="Q67" s="169" t="n"/>
      <c r="R67" s="169" t="n"/>
      <c r="S67" s="169" t="n"/>
      <c r="T67" s="169" t="n"/>
    </row>
    <row r="68" ht="24" customHeight="1" s="97">
      <c r="A68" s="161" t="n"/>
      <c r="B68" s="124" t="n">
        <v>2</v>
      </c>
      <c r="C68" s="117" t="inlineStr">
        <is>
          <t>于永强</t>
        </is>
      </c>
      <c r="D68" s="117" t="inlineStr">
        <is>
          <t>李俭</t>
        </is>
      </c>
      <c r="E68" s="117" t="inlineStr">
        <is>
          <t>玻璃剧场影片渲染费用</t>
        </is>
      </c>
      <c r="F68" s="117" t="inlineStr">
        <is>
          <t>俄罗斯</t>
        </is>
      </c>
      <c r="G68" s="117" t="n"/>
      <c r="H68" s="168" t="inlineStr">
        <is>
          <t>3月签并回款</t>
        </is>
      </c>
      <c r="I68" s="169" t="n"/>
      <c r="J68" s="169" t="n"/>
      <c r="K68" s="169" t="n">
        <v>24000</v>
      </c>
      <c r="L68" s="169" t="n"/>
      <c r="M68" s="169" t="n"/>
      <c r="N68" s="169" t="n"/>
      <c r="O68" s="169" t="n"/>
      <c r="P68" s="169" t="n"/>
      <c r="Q68" s="169" t="n"/>
      <c r="R68" s="169" t="n"/>
      <c r="S68" s="169" t="n"/>
      <c r="T68" s="169" t="n"/>
    </row>
    <row r="69" ht="24" customHeight="1" s="97">
      <c r="A69" s="161" t="n"/>
      <c r="B69" s="124" t="n">
        <v>3</v>
      </c>
      <c r="C69" s="117" t="inlineStr">
        <is>
          <t>于永强</t>
        </is>
      </c>
      <c r="D69" s="117" t="inlineStr">
        <is>
          <t>谢总</t>
        </is>
      </c>
      <c r="E69" s="117" t="inlineStr">
        <is>
          <t>VR大空间</t>
        </is>
      </c>
      <c r="F69" s="117" t="inlineStr">
        <is>
          <t>陕西榆林图书馆</t>
        </is>
      </c>
      <c r="G69" s="170" t="n"/>
      <c r="H69" s="168" t="inlineStr">
        <is>
          <t>6月签并回款</t>
        </is>
      </c>
      <c r="I69" s="171" t="n"/>
      <c r="J69" s="171" t="n"/>
      <c r="K69" s="171" t="n"/>
      <c r="L69" s="171" t="n"/>
      <c r="M69" s="171" t="n"/>
      <c r="N69" s="169" t="n">
        <v>130000</v>
      </c>
      <c r="O69" s="171" t="n"/>
      <c r="P69" s="171" t="n"/>
      <c r="Q69" s="171" t="n"/>
      <c r="R69" s="171" t="n"/>
      <c r="S69" s="171" t="n"/>
      <c r="T69" s="171" t="n"/>
    </row>
    <row r="70" ht="24" customHeight="1" s="97">
      <c r="A70" s="161" t="n"/>
      <c r="B70" s="124" t="n">
        <v>4</v>
      </c>
      <c r="C70" s="124" t="inlineStr">
        <is>
          <t>于永强</t>
        </is>
      </c>
      <c r="D70" s="124" t="inlineStr">
        <is>
          <t>吴总</t>
        </is>
      </c>
      <c r="E70" s="124" t="inlineStr">
        <is>
          <t>VR大空间</t>
        </is>
      </c>
      <c r="F70" s="124" t="inlineStr">
        <is>
          <t>广州软件学院</t>
        </is>
      </c>
      <c r="G70" s="124" t="n"/>
      <c r="H70" s="159" t="inlineStr">
        <is>
          <t>预计7月份，24000</t>
        </is>
      </c>
      <c r="I70" s="160" t="n"/>
      <c r="J70" s="160" t="n"/>
      <c r="K70" s="160" t="n"/>
      <c r="L70" s="160" t="n"/>
      <c r="M70" s="160" t="n"/>
      <c r="N70" s="160" t="n"/>
      <c r="O70" s="160" t="n"/>
      <c r="P70" s="160" t="n"/>
      <c r="Q70" s="160" t="n"/>
      <c r="R70" s="160" t="n"/>
      <c r="S70" s="160" t="n"/>
      <c r="T70" s="160" t="n"/>
    </row>
    <row r="71" ht="24" customHeight="1" s="97">
      <c r="A71" s="161" t="n"/>
      <c r="B71" s="124" t="n">
        <v>5</v>
      </c>
      <c r="C71" s="124" t="inlineStr">
        <is>
          <t>于永强</t>
        </is>
      </c>
      <c r="D71" s="124" t="inlineStr">
        <is>
          <t>金总</t>
        </is>
      </c>
      <c r="E71" s="124" t="inlineStr">
        <is>
          <t>CS/卡丁车/fpv赛车</t>
        </is>
      </c>
      <c r="F71" s="124" t="inlineStr">
        <is>
          <t>深圳和悦成</t>
        </is>
      </c>
      <c r="G71" s="124" t="n"/>
      <c r="H71" s="159" t="n"/>
      <c r="I71" s="160" t="n"/>
      <c r="J71" s="160" t="n"/>
      <c r="K71" s="160" t="n"/>
      <c r="L71" s="160" t="n"/>
      <c r="M71" s="160" t="n"/>
      <c r="N71" s="160" t="n"/>
      <c r="O71" s="160" t="n"/>
      <c r="P71" s="160" t="n"/>
      <c r="Q71" s="160" t="n"/>
      <c r="R71" s="160" t="n"/>
      <c r="S71" s="160" t="n"/>
      <c r="T71" s="160" t="n"/>
    </row>
    <row r="72" ht="24" customHeight="1" s="97">
      <c r="A72" s="161" t="n"/>
      <c r="B72" s="124" t="n">
        <v>6</v>
      </c>
      <c r="C72" s="124" t="inlineStr">
        <is>
          <t>于永强</t>
        </is>
      </c>
      <c r="D72" s="124" t="inlineStr">
        <is>
          <t>罗总</t>
        </is>
      </c>
      <c r="E72" s="124" t="inlineStr">
        <is>
          <t xml:space="preserve">15米球幕 </t>
        </is>
      </c>
      <c r="F72" s="124" t="inlineStr">
        <is>
          <t>成都某景区</t>
        </is>
      </c>
      <c r="G72" s="124" t="n"/>
      <c r="H72" s="159" t="n"/>
      <c r="I72" s="160" t="n"/>
      <c r="J72" s="160" t="n"/>
      <c r="K72" s="160" t="n"/>
      <c r="L72" s="160" t="n"/>
      <c r="M72" s="160" t="n"/>
      <c r="N72" s="160" t="n"/>
      <c r="O72" s="160" t="n"/>
      <c r="P72" s="160" t="n"/>
      <c r="Q72" s="160" t="n"/>
      <c r="R72" s="160" t="n"/>
      <c r="S72" s="160" t="n"/>
      <c r="T72" s="160" t="n"/>
    </row>
    <row r="73" ht="24" customHeight="1" s="97">
      <c r="A73" s="161" t="n"/>
      <c r="B73" s="124" t="n">
        <v>7</v>
      </c>
      <c r="C73" s="124" t="inlineStr">
        <is>
          <t>于永强</t>
        </is>
      </c>
      <c r="D73" s="124" t="inlineStr">
        <is>
          <t>广州励丰李总</t>
        </is>
      </c>
      <c r="E73" s="124" t="inlineStr">
        <is>
          <t>4分钟VR音乐厅</t>
        </is>
      </c>
      <c r="F73" s="124" t="inlineStr">
        <is>
          <t>江苏无锡音乐厅博物馆项目</t>
        </is>
      </c>
      <c r="G73" s="124" t="n"/>
      <c r="H73" s="159" t="n"/>
      <c r="I73" s="160" t="n"/>
      <c r="J73" s="160" t="n"/>
      <c r="K73" s="160" t="n"/>
      <c r="L73" s="160" t="n"/>
      <c r="M73" s="160" t="n"/>
      <c r="N73" s="160" t="n"/>
      <c r="O73" s="160" t="n"/>
      <c r="P73" s="160" t="n"/>
      <c r="Q73" s="160" t="n"/>
      <c r="R73" s="160" t="n"/>
      <c r="S73" s="160" t="n"/>
      <c r="T73" s="160" t="n"/>
    </row>
    <row r="74" ht="24" customHeight="1" s="97">
      <c r="A74" s="161" t="n"/>
      <c r="B74" s="124" t="n">
        <v>8</v>
      </c>
      <c r="C74" s="124" t="inlineStr">
        <is>
          <t>于永强</t>
        </is>
      </c>
      <c r="D74" s="124" t="inlineStr">
        <is>
          <t>深圳邓总</t>
        </is>
      </c>
      <c r="E74" s="124" t="inlineStr">
        <is>
          <t>击破光年</t>
        </is>
      </c>
      <c r="F74" s="124" t="inlineStr">
        <is>
          <t>深圳宝安青少年馆</t>
        </is>
      </c>
      <c r="G74" s="124" t="n"/>
      <c r="H74" s="159" t="n"/>
      <c r="I74" s="160" t="n"/>
      <c r="J74" s="160" t="n"/>
      <c r="K74" s="160" t="n"/>
      <c r="L74" s="160" t="n"/>
      <c r="M74" s="160" t="n"/>
      <c r="N74" s="160" t="n"/>
      <c r="O74" s="160" t="n"/>
      <c r="P74" s="160" t="n"/>
      <c r="Q74" s="160" t="n"/>
      <c r="R74" s="160" t="n"/>
      <c r="S74" s="160" t="n"/>
      <c r="T74" s="160" t="n"/>
    </row>
    <row r="75" ht="24" customHeight="1" s="97">
      <c r="A75" s="161" t="n"/>
      <c r="B75" s="124" t="n">
        <v>9</v>
      </c>
      <c r="C75" s="124" t="inlineStr">
        <is>
          <t>于永强</t>
        </is>
      </c>
      <c r="D75" s="124" t="inlineStr">
        <is>
          <t>王总</t>
        </is>
      </c>
      <c r="E75" s="124" t="inlineStr">
        <is>
          <t>LED球幕</t>
        </is>
      </c>
      <c r="F75" s="124" t="inlineStr">
        <is>
          <t>花果山景区</t>
        </is>
      </c>
      <c r="G75" s="124" t="n"/>
      <c r="H75" s="159" t="n"/>
      <c r="I75" s="160" t="n"/>
      <c r="J75" s="160" t="n"/>
      <c r="K75" s="160" t="n"/>
      <c r="L75" s="160" t="n"/>
      <c r="M75" s="160" t="n"/>
      <c r="N75" s="160" t="n"/>
      <c r="O75" s="160" t="n"/>
      <c r="P75" s="160" t="n"/>
      <c r="Q75" s="160" t="n"/>
      <c r="R75" s="160" t="n"/>
      <c r="S75" s="160" t="n"/>
      <c r="T75" s="160" t="n"/>
    </row>
    <row r="76" ht="24" customHeight="1" s="97">
      <c r="A76" s="161" t="n"/>
      <c r="B76" s="124" t="n">
        <v>10</v>
      </c>
      <c r="C76" s="124" t="inlineStr">
        <is>
          <t>于永强</t>
        </is>
      </c>
      <c r="D76" s="124" t="inlineStr">
        <is>
          <t>张家界奇境旅游</t>
        </is>
      </c>
      <c r="E76" s="124" t="inlineStr">
        <is>
          <t>待定</t>
        </is>
      </c>
      <c r="F76" s="124" t="inlineStr">
        <is>
          <t>张家界文化旅游创意产业园</t>
        </is>
      </c>
      <c r="G76" s="124" t="n"/>
      <c r="H76" s="159" t="n"/>
      <c r="I76" s="160" t="n"/>
      <c r="J76" s="160" t="n"/>
      <c r="K76" s="160" t="n"/>
      <c r="L76" s="160" t="n"/>
      <c r="M76" s="160" t="n"/>
      <c r="N76" s="160" t="n"/>
      <c r="O76" s="160" t="n"/>
      <c r="P76" s="160" t="n"/>
      <c r="Q76" s="160" t="n"/>
      <c r="R76" s="160" t="n"/>
      <c r="S76" s="160" t="n"/>
      <c r="T76" s="160" t="n"/>
    </row>
    <row r="77" ht="24" customHeight="1" s="97">
      <c r="A77" s="161" t="n"/>
      <c r="B77" s="124" t="n">
        <v>11</v>
      </c>
      <c r="C77" s="124" t="inlineStr">
        <is>
          <t>于永强</t>
        </is>
      </c>
      <c r="D77" s="124" t="inlineStr">
        <is>
          <t>郑州航空港-李总</t>
        </is>
      </c>
      <c r="E77" s="124" t="inlineStr">
        <is>
          <t>FPV赛车</t>
        </is>
      </c>
      <c r="F77" s="124" t="inlineStr">
        <is>
          <t>郑州新郑旭辉空港时代比亚迪赛车场</t>
        </is>
      </c>
      <c r="G77" s="124" t="inlineStr">
        <is>
          <t>展会</t>
        </is>
      </c>
      <c r="H77" s="159" t="n"/>
      <c r="I77" s="160" t="n"/>
      <c r="J77" s="160" t="n"/>
      <c r="K77" s="160" t="n"/>
      <c r="L77" s="160" t="n"/>
      <c r="M77" s="160" t="n"/>
      <c r="N77" s="160" t="n"/>
      <c r="O77" s="160" t="n"/>
      <c r="P77" s="160" t="n"/>
      <c r="Q77" s="160" t="n"/>
      <c r="R77" s="160" t="n"/>
      <c r="S77" s="160" t="n"/>
      <c r="T77" s="160" t="n"/>
    </row>
    <row r="78" hidden="1" ht="24" customHeight="1" s="97">
      <c r="A78" s="161" t="n"/>
      <c r="B78" s="172" t="n">
        <v>10</v>
      </c>
      <c r="C78" s="162" t="inlineStr">
        <is>
          <t>于永强</t>
        </is>
      </c>
      <c r="D78" s="162" t="inlineStr">
        <is>
          <t>左总</t>
        </is>
      </c>
      <c r="E78" s="162" t="inlineStr">
        <is>
          <t>CS枪战</t>
        </is>
      </c>
      <c r="F78" s="162" t="inlineStr">
        <is>
          <t>西安大唐不夜城步行街</t>
        </is>
      </c>
      <c r="G78" s="172" t="n"/>
      <c r="H78" s="173" t="n"/>
      <c r="I78" s="174" t="n"/>
      <c r="J78" s="174" t="n"/>
      <c r="K78" s="174" t="n"/>
      <c r="L78" s="174" t="n"/>
      <c r="M78" s="174" t="n"/>
      <c r="N78" s="174" t="n"/>
      <c r="O78" s="174" t="n"/>
      <c r="P78" s="174" t="n"/>
      <c r="Q78" s="174" t="n"/>
      <c r="R78" s="174" t="n"/>
      <c r="S78" s="174" t="n"/>
      <c r="T78" s="174" t="n"/>
    </row>
    <row r="79" hidden="1" ht="24" customHeight="1" s="97">
      <c r="A79" s="161" t="n"/>
      <c r="B79" s="172" t="n">
        <v>11</v>
      </c>
      <c r="C79" s="172" t="inlineStr">
        <is>
          <t>于永强</t>
        </is>
      </c>
      <c r="D79" s="172" t="inlineStr">
        <is>
          <t>刘总</t>
        </is>
      </c>
      <c r="E79" s="172" t="inlineStr">
        <is>
          <t>沙盘赛车</t>
        </is>
      </c>
      <c r="F79" s="172" t="inlineStr">
        <is>
          <t>四川省德阳市挂面第一村</t>
        </is>
      </c>
      <c r="G79" s="172" t="n"/>
      <c r="H79" s="173" t="n"/>
      <c r="I79" s="174" t="n"/>
      <c r="J79" s="174" t="n"/>
      <c r="K79" s="174" t="n"/>
      <c r="L79" s="174" t="n"/>
      <c r="M79" s="174" t="n"/>
      <c r="N79" s="174" t="n"/>
      <c r="O79" s="174" t="n"/>
      <c r="P79" s="174" t="n"/>
      <c r="Q79" s="174" t="n"/>
      <c r="R79" s="174" t="n"/>
      <c r="S79" s="174" t="n"/>
      <c r="T79" s="174" t="n"/>
    </row>
    <row r="80" hidden="1" ht="24" customHeight="1" s="97">
      <c r="A80" s="161" t="n"/>
      <c r="B80" s="172" t="n">
        <v>12</v>
      </c>
      <c r="C80" s="172" t="inlineStr">
        <is>
          <t>于永强</t>
        </is>
      </c>
      <c r="D80" s="172" t="inlineStr">
        <is>
          <t>夏总</t>
        </is>
      </c>
      <c r="E80" s="172" t="inlineStr">
        <is>
          <t>飞行影院</t>
        </is>
      </c>
      <c r="F80" s="172" t="inlineStr">
        <is>
          <t>重庆綦江区规划局</t>
        </is>
      </c>
      <c r="G80" s="172" t="n"/>
      <c r="H80" s="173" t="n"/>
      <c r="I80" s="174" t="n"/>
      <c r="J80" s="174" t="n"/>
      <c r="K80" s="174" t="n"/>
      <c r="L80" s="174" t="n"/>
      <c r="M80" s="174" t="n"/>
      <c r="N80" s="174" t="n"/>
      <c r="O80" s="174" t="n"/>
      <c r="P80" s="174" t="n"/>
      <c r="Q80" s="174" t="n"/>
      <c r="R80" s="174" t="n"/>
      <c r="S80" s="174" t="n"/>
      <c r="T80" s="174" t="n"/>
    </row>
    <row r="81" hidden="1" ht="24" customHeight="1" s="97">
      <c r="A81" s="161" t="n"/>
      <c r="B81" s="172" t="n">
        <v>13</v>
      </c>
      <c r="C81" s="172" t="inlineStr">
        <is>
          <t>于永强</t>
        </is>
      </c>
      <c r="D81" s="172" t="inlineStr">
        <is>
          <t>董总</t>
        </is>
      </c>
      <c r="E81" s="172" t="inlineStr">
        <is>
          <t>10人VR大空间</t>
        </is>
      </c>
      <c r="F81" s="172" t="inlineStr">
        <is>
          <t>重庆科学馆</t>
        </is>
      </c>
      <c r="G81" s="172" t="n"/>
      <c r="H81" s="173" t="n"/>
      <c r="I81" s="174" t="n"/>
      <c r="J81" s="174" t="n"/>
      <c r="K81" s="174" t="n"/>
      <c r="L81" s="174" t="n"/>
      <c r="M81" s="174" t="n"/>
      <c r="N81" s="174" t="n"/>
      <c r="O81" s="174" t="n"/>
      <c r="P81" s="174" t="n"/>
      <c r="Q81" s="174" t="n"/>
      <c r="R81" s="174" t="n"/>
      <c r="S81" s="174" t="n"/>
      <c r="T81" s="174" t="n"/>
    </row>
    <row r="82" hidden="1" ht="24" customHeight="1" s="97">
      <c r="A82" s="161" t="n"/>
      <c r="B82" s="172" t="n">
        <v>14</v>
      </c>
      <c r="C82" s="172" t="inlineStr">
        <is>
          <t>于永强</t>
        </is>
      </c>
      <c r="D82" s="172" t="inlineStr">
        <is>
          <t>呼和浩特蒙总</t>
        </is>
      </c>
      <c r="E82" s="172" t="inlineStr">
        <is>
          <t>卡丁车，CS枪战，飞行影院</t>
        </is>
      </c>
      <c r="F82" s="172" t="inlineStr">
        <is>
          <t>内蒙古呼和浩特市 酷跑国际卡丁车赛车场</t>
        </is>
      </c>
      <c r="G82" s="172" t="n"/>
      <c r="H82" s="173" t="n"/>
      <c r="I82" s="174" t="n"/>
      <c r="J82" s="174" t="n"/>
      <c r="K82" s="174" t="n"/>
      <c r="L82" s="174" t="n"/>
      <c r="M82" s="174" t="n"/>
      <c r="N82" s="174" t="n"/>
      <c r="O82" s="174" t="n"/>
      <c r="P82" s="174" t="n"/>
      <c r="Q82" s="174" t="n"/>
      <c r="R82" s="174" t="n"/>
      <c r="S82" s="174" t="n"/>
      <c r="T82" s="174" t="n"/>
    </row>
    <row r="83" hidden="1" ht="24" customHeight="1" s="97">
      <c r="A83" s="161" t="n"/>
      <c r="B83" s="172" t="n">
        <v>15</v>
      </c>
      <c r="C83" s="172" t="inlineStr">
        <is>
          <t>于永强</t>
        </is>
      </c>
      <c r="D83" s="172" t="inlineStr">
        <is>
          <t xml:space="preserve">北京纪伟 </t>
        </is>
      </c>
      <c r="E83" s="172" t="inlineStr">
        <is>
          <t>定制化VR大空间</t>
        </is>
      </c>
      <c r="F83" s="172" t="inlineStr">
        <is>
          <t>沈阳故宫博物院附近的商场</t>
        </is>
      </c>
      <c r="G83" s="172" t="n"/>
      <c r="H83" s="173" t="n"/>
      <c r="I83" s="174" t="n"/>
      <c r="J83" s="174" t="n"/>
      <c r="K83" s="174" t="n"/>
      <c r="L83" s="174" t="n"/>
      <c r="M83" s="174" t="n"/>
      <c r="N83" s="174" t="n"/>
      <c r="O83" s="174" t="n"/>
      <c r="P83" s="174" t="n"/>
      <c r="Q83" s="174" t="n"/>
      <c r="R83" s="174" t="n"/>
      <c r="S83" s="174" t="n"/>
      <c r="T83" s="174" t="n"/>
    </row>
    <row r="84" hidden="1" ht="24" customHeight="1" s="97">
      <c r="A84" s="161" t="n"/>
      <c r="B84" s="172" t="n">
        <v>16</v>
      </c>
      <c r="C84" s="172" t="inlineStr">
        <is>
          <t>于永强</t>
        </is>
      </c>
      <c r="D84" s="172" t="inlineStr">
        <is>
          <t>湖北朱总</t>
        </is>
      </c>
      <c r="E84" s="172" t="inlineStr">
        <is>
          <t>卡丁车+CS枪战</t>
        </is>
      </c>
      <c r="F84" s="172" t="inlineStr">
        <is>
          <t>襄阳盛世唐城景区</t>
        </is>
      </c>
      <c r="G84" s="172" t="n"/>
      <c r="H84" s="173" t="n"/>
      <c r="I84" s="174" t="n"/>
      <c r="J84" s="174" t="n"/>
      <c r="K84" s="174" t="n"/>
      <c r="L84" s="174" t="n"/>
      <c r="M84" s="174" t="n"/>
      <c r="N84" s="174" t="n"/>
      <c r="O84" s="174" t="n"/>
      <c r="P84" s="174" t="n"/>
      <c r="Q84" s="174" t="n"/>
      <c r="R84" s="174" t="n"/>
      <c r="S84" s="174" t="n"/>
      <c r="T84" s="174" t="n"/>
    </row>
    <row r="85" hidden="1" ht="24" customHeight="1" s="97">
      <c r="A85" s="161" t="n"/>
      <c r="B85" s="172" t="n">
        <v>17</v>
      </c>
      <c r="C85" s="172" t="inlineStr">
        <is>
          <t>于永强</t>
        </is>
      </c>
      <c r="D85" s="172" t="inlineStr">
        <is>
          <t>重庆文旅嵩总</t>
        </is>
      </c>
      <c r="E85" s="172" t="inlineStr">
        <is>
          <t>25分钟定制内容+10人VR</t>
        </is>
      </c>
      <c r="F85" s="172" t="inlineStr">
        <is>
          <t>武汉九真山景区防空洞</t>
        </is>
      </c>
      <c r="G85" s="172" t="n"/>
      <c r="H85" s="173" t="n"/>
      <c r="I85" s="174" t="n"/>
      <c r="J85" s="174" t="n"/>
      <c r="K85" s="174" t="n"/>
      <c r="L85" s="174" t="n"/>
      <c r="M85" s="174" t="n"/>
      <c r="N85" s="174" t="n"/>
      <c r="O85" s="174" t="n"/>
      <c r="P85" s="174" t="n"/>
      <c r="Q85" s="174" t="n"/>
      <c r="R85" s="174" t="n"/>
      <c r="S85" s="174" t="n"/>
      <c r="T85" s="174" t="n"/>
    </row>
    <row r="86" hidden="1" ht="24" customHeight="1" s="97">
      <c r="A86" s="161" t="n"/>
      <c r="B86" s="172" t="n">
        <v>18</v>
      </c>
      <c r="C86" s="172" t="inlineStr">
        <is>
          <t>于永强</t>
        </is>
      </c>
      <c r="D86" s="172" t="inlineStr">
        <is>
          <t>呼和浩特蒙总</t>
        </is>
      </c>
      <c r="E86" s="172" t="inlineStr">
        <is>
          <t>卡丁车，CS枪战，飞行影院</t>
        </is>
      </c>
      <c r="F86" s="172" t="inlineStr">
        <is>
          <t>内蒙古呼和浩特市 酷跑国际卡丁车赛车场</t>
        </is>
      </c>
      <c r="G86" s="172" t="n"/>
      <c r="H86" s="173" t="n"/>
      <c r="I86" s="174" t="n"/>
      <c r="J86" s="174" t="n"/>
      <c r="K86" s="174" t="n"/>
      <c r="L86" s="174" t="n"/>
      <c r="M86" s="174" t="n"/>
      <c r="N86" s="174" t="n"/>
      <c r="O86" s="174" t="n"/>
      <c r="P86" s="174" t="n"/>
      <c r="Q86" s="174" t="n"/>
      <c r="R86" s="174" t="n"/>
      <c r="S86" s="174" t="n"/>
      <c r="T86" s="174" t="n"/>
    </row>
    <row r="87" hidden="1" ht="24" customHeight="1" s="97">
      <c r="A87" s="161" t="n"/>
      <c r="B87" s="172" t="n">
        <v>19</v>
      </c>
      <c r="C87" s="172" t="inlineStr">
        <is>
          <t>于永强</t>
        </is>
      </c>
      <c r="D87" s="172" t="inlineStr">
        <is>
          <t>鲁总</t>
        </is>
      </c>
      <c r="E87" s="172" t="inlineStr">
        <is>
          <t>大空间 + 卡丁车 + CS</t>
        </is>
      </c>
      <c r="F87" s="172" t="inlineStr">
        <is>
          <t>安徽芜湖梦溪科创走廊</t>
        </is>
      </c>
      <c r="G87" s="172" t="n"/>
      <c r="H87" s="173" t="n"/>
      <c r="I87" s="174" t="n"/>
      <c r="J87" s="174" t="n"/>
      <c r="K87" s="174" t="n"/>
      <c r="L87" s="174" t="n"/>
      <c r="M87" s="174" t="n"/>
      <c r="N87" s="174" t="n"/>
      <c r="O87" s="174" t="n"/>
      <c r="P87" s="174" t="n"/>
      <c r="Q87" s="174" t="n"/>
      <c r="R87" s="174" t="n"/>
      <c r="S87" s="174" t="n"/>
      <c r="T87" s="174" t="n"/>
    </row>
    <row r="88" hidden="1" ht="24" customHeight="1" s="97">
      <c r="A88" s="161" t="n"/>
      <c r="B88" s="172" t="n">
        <v>20</v>
      </c>
      <c r="C88" s="172" t="inlineStr">
        <is>
          <t>于永强</t>
        </is>
      </c>
      <c r="D88" s="172" t="inlineStr">
        <is>
          <t xml:space="preserve">广州谢总 </t>
        </is>
      </c>
      <c r="E88" s="172" t="inlineStr">
        <is>
          <t>球幕影片</t>
        </is>
      </c>
      <c r="F88" s="172" t="inlineStr">
        <is>
          <t>贵州国贸购物中心</t>
        </is>
      </c>
      <c r="G88" s="172" t="n"/>
      <c r="H88" s="173" t="n"/>
      <c r="I88" s="174" t="n"/>
      <c r="J88" s="174" t="n"/>
      <c r="K88" s="174" t="n"/>
      <c r="L88" s="174" t="n"/>
      <c r="M88" s="174" t="n"/>
      <c r="N88" s="174" t="n"/>
      <c r="O88" s="174" t="n"/>
      <c r="P88" s="174" t="n"/>
      <c r="Q88" s="174" t="n"/>
      <c r="R88" s="174" t="n"/>
      <c r="S88" s="174" t="n"/>
      <c r="T88" s="174" t="n"/>
    </row>
    <row r="89" hidden="1" ht="24" customHeight="1" s="97">
      <c r="A89" s="161" t="n"/>
      <c r="B89" s="172" t="n">
        <v>21</v>
      </c>
      <c r="C89" s="172" t="inlineStr">
        <is>
          <t>于永强</t>
        </is>
      </c>
      <c r="D89" s="172" t="inlineStr">
        <is>
          <t>波司登</t>
        </is>
      </c>
      <c r="E89" s="172" t="inlineStr">
        <is>
          <t>5-10分钟定制</t>
        </is>
      </c>
      <c r="F89" s="172" t="inlineStr">
        <is>
          <t>上海</t>
        </is>
      </c>
      <c r="G89" s="172" t="n"/>
      <c r="H89" s="173" t="n"/>
      <c r="I89" s="174" t="n"/>
      <c r="J89" s="174" t="n"/>
      <c r="K89" s="174" t="n"/>
      <c r="L89" s="174" t="n"/>
      <c r="M89" s="174" t="n"/>
      <c r="N89" s="174" t="n"/>
      <c r="O89" s="174" t="n"/>
      <c r="P89" s="174" t="n"/>
      <c r="Q89" s="174" t="n"/>
      <c r="R89" s="174" t="n"/>
      <c r="S89" s="174" t="n"/>
      <c r="T89" s="174" t="n"/>
    </row>
    <row r="90" ht="28" customHeight="1" s="97">
      <c r="A90" s="161" t="n"/>
      <c r="B90" s="120" t="inlineStr">
        <is>
          <t>个人月度合计：</t>
        </is>
      </c>
      <c r="C90" s="156" t="n"/>
      <c r="D90" s="156" t="n"/>
      <c r="E90" s="156" t="n"/>
      <c r="F90" s="156" t="n"/>
      <c r="G90" s="156" t="n"/>
      <c r="H90" s="157" t="n"/>
      <c r="I90" s="164">
        <f>SUM(I67:I89)</f>
        <v/>
      </c>
      <c r="J90" s="164">
        <f>SUM(J67:J89)</f>
        <v/>
      </c>
      <c r="K90" s="164">
        <f>SUM(K67:K89)</f>
        <v/>
      </c>
      <c r="L90" s="164">
        <f>SUM(L67:L89)</f>
        <v/>
      </c>
      <c r="M90" s="164">
        <f>SUM(M67:M89)</f>
        <v/>
      </c>
      <c r="N90" s="164">
        <f>SUM(N67:N89)</f>
        <v/>
      </c>
      <c r="O90" s="164">
        <f>SUM(O67:O89)</f>
        <v/>
      </c>
      <c r="P90" s="164">
        <f>SUM(P67:P89)</f>
        <v/>
      </c>
      <c r="Q90" s="164">
        <f>SUM(Q67:Q89)</f>
        <v/>
      </c>
      <c r="R90" s="164">
        <f>SUM(R67:R89)</f>
        <v/>
      </c>
      <c r="S90" s="164">
        <f>SUM(S67:S89)</f>
        <v/>
      </c>
      <c r="T90" s="164">
        <f>SUM(T67:T89)</f>
        <v/>
      </c>
    </row>
    <row r="91" ht="28" customHeight="1" s="97">
      <c r="A91" s="161" t="n"/>
      <c r="B91" s="120" t="inlineStr">
        <is>
          <t>个人季度合计：</t>
        </is>
      </c>
      <c r="C91" s="156" t="n"/>
      <c r="D91" s="156" t="n"/>
      <c r="E91" s="156" t="n"/>
      <c r="F91" s="156" t="n"/>
      <c r="G91" s="156" t="n"/>
      <c r="H91" s="157" t="n"/>
      <c r="I91" s="164">
        <f>SUM(I90:K90)</f>
        <v/>
      </c>
      <c r="J91" s="156" t="n"/>
      <c r="K91" s="157" t="n"/>
      <c r="L91" s="164">
        <f>SUM(L90:N90)</f>
        <v/>
      </c>
      <c r="M91" s="156" t="n"/>
      <c r="N91" s="157" t="n"/>
      <c r="O91" s="164">
        <f>SUM(O90:Q90)</f>
        <v/>
      </c>
      <c r="P91" s="156" t="n"/>
      <c r="Q91" s="157" t="n"/>
      <c r="R91" s="164">
        <f>SUM(R90:T90)</f>
        <v/>
      </c>
      <c r="S91" s="156" t="n"/>
      <c r="T91" s="157" t="n"/>
    </row>
    <row r="92" ht="28" customHeight="1" s="97">
      <c r="A92" s="161" t="n"/>
      <c r="B92" s="120" t="inlineStr">
        <is>
          <t>个人年度合计：</t>
        </is>
      </c>
      <c r="C92" s="156" t="n"/>
      <c r="D92" s="156" t="n"/>
      <c r="E92" s="156" t="n"/>
      <c r="F92" s="156" t="n"/>
      <c r="G92" s="156" t="n"/>
      <c r="H92" s="157" t="n"/>
      <c r="I92" s="164">
        <f>SUM(I90:T90)</f>
        <v/>
      </c>
      <c r="J92" s="156" t="n"/>
      <c r="K92" s="156" t="n"/>
      <c r="L92" s="156" t="n"/>
      <c r="M92" s="156" t="n"/>
      <c r="N92" s="156" t="n"/>
      <c r="O92" s="156" t="n"/>
      <c r="P92" s="156" t="n"/>
      <c r="Q92" s="156" t="n"/>
      <c r="R92" s="156" t="n"/>
      <c r="S92" s="156" t="n"/>
      <c r="T92" s="157" t="n"/>
    </row>
    <row r="93" ht="18" customHeight="1" s="97">
      <c r="A93" s="161" t="n"/>
      <c r="B93" s="124" t="n"/>
      <c r="C93" s="156" t="n"/>
      <c r="D93" s="156" t="n"/>
      <c r="E93" s="156" t="n"/>
      <c r="F93" s="156" t="n"/>
      <c r="G93" s="156" t="n"/>
      <c r="H93" s="156" t="n"/>
      <c r="I93" s="156" t="n"/>
      <c r="J93" s="156" t="n"/>
      <c r="K93" s="156" t="n"/>
      <c r="L93" s="156" t="n"/>
      <c r="M93" s="156" t="n"/>
      <c r="N93" s="156" t="n"/>
      <c r="O93" s="156" t="n"/>
      <c r="P93" s="156" t="n"/>
      <c r="Q93" s="156" t="n"/>
      <c r="R93" s="156" t="n"/>
      <c r="S93" s="156" t="n"/>
      <c r="T93" s="157" t="n"/>
    </row>
    <row r="94" ht="24" customHeight="1" s="97">
      <c r="A94" s="161" t="n"/>
      <c r="B94" s="124" t="n">
        <v>1</v>
      </c>
      <c r="C94" s="117" t="inlineStr">
        <is>
          <t>胡佳新</t>
        </is>
      </c>
      <c r="D94" s="117" t="inlineStr">
        <is>
          <t>渠道 杨总</t>
        </is>
      </c>
      <c r="E94" s="117" t="inlineStr">
        <is>
          <t>沙盘赛车</t>
        </is>
      </c>
      <c r="F94" s="117" t="inlineStr">
        <is>
          <t>河南安阳西纸厂</t>
        </is>
      </c>
      <c r="G94" s="117" t="n"/>
      <c r="H94" s="168" t="inlineStr">
        <is>
          <t>6月签并回款</t>
        </is>
      </c>
      <c r="I94" s="160" t="n"/>
      <c r="J94" s="160" t="n"/>
      <c r="K94" s="160" t="n"/>
      <c r="L94" s="160" t="n"/>
      <c r="M94" s="160" t="n"/>
      <c r="N94" s="169" t="n">
        <v>135000</v>
      </c>
      <c r="O94" s="160" t="n"/>
      <c r="P94" s="160" t="n"/>
      <c r="Q94" s="160" t="n"/>
      <c r="R94" s="160" t="n"/>
      <c r="S94" s="160" t="n"/>
      <c r="T94" s="160" t="n"/>
    </row>
    <row r="95" ht="24" customHeight="1" s="97">
      <c r="A95" s="161" t="n"/>
      <c r="B95" s="117" t="n">
        <v>2</v>
      </c>
      <c r="C95" s="117" t="inlineStr">
        <is>
          <t>胡佳新</t>
        </is>
      </c>
      <c r="D95" s="117" t="inlineStr">
        <is>
          <t>云南童梦屿 廖总</t>
        </is>
      </c>
      <c r="E95" s="117" t="inlineStr">
        <is>
          <t>飞行影院</t>
        </is>
      </c>
      <c r="F95" s="117" t="inlineStr">
        <is>
          <t>云南昆明童梦屿/山西综合馆</t>
        </is>
      </c>
      <c r="G95" s="117" t="inlineStr">
        <is>
          <t>25年郑州展</t>
        </is>
      </c>
      <c r="H95" s="168" t="inlineStr">
        <is>
          <t>客户整个场地产品预算50w，场地比较不规则还有近500平，周一客户在问场地现有业态，然后再给做整体规划，十一前要落地。</t>
        </is>
      </c>
      <c r="I95" s="169" t="n"/>
      <c r="J95" s="169" t="n"/>
      <c r="K95" s="169" t="n"/>
      <c r="L95" s="169" t="n"/>
      <c r="M95" s="169" t="n"/>
      <c r="N95" s="169" t="n"/>
      <c r="O95" s="169" t="n">
        <v>280000</v>
      </c>
      <c r="P95" s="160" t="n"/>
      <c r="Q95" s="160" t="n"/>
      <c r="R95" s="160" t="n"/>
      <c r="S95" s="160" t="n"/>
      <c r="T95" s="160" t="n"/>
    </row>
    <row r="96" ht="24" customHeight="1" s="97">
      <c r="A96" s="161" t="n"/>
      <c r="B96" s="124" t="n">
        <v>3</v>
      </c>
      <c r="C96" s="124" t="inlineStr">
        <is>
          <t>胡佳新</t>
        </is>
      </c>
      <c r="D96" s="124" t="inlineStr">
        <is>
          <t>云储科技 尚总</t>
        </is>
      </c>
      <c r="E96" s="124" t="inlineStr">
        <is>
          <t>VR大空间</t>
        </is>
      </c>
      <c r="F96" s="124" t="inlineStr">
        <is>
          <t>天河东方新世界2楼</t>
        </is>
      </c>
      <c r="G96" s="124" t="n"/>
      <c r="H96" s="159" t="inlineStr">
        <is>
          <t>已签约未回款，108W不含税订单，还在催预付款</t>
        </is>
      </c>
      <c r="I96" s="160" t="n"/>
      <c r="J96" s="160" t="n"/>
      <c r="K96" s="160" t="n"/>
      <c r="L96" s="160" t="n"/>
      <c r="M96" s="160" t="n"/>
      <c r="N96" s="160" t="n"/>
      <c r="O96" s="160" t="n"/>
      <c r="P96" s="160" t="n"/>
      <c r="Q96" s="160" t="n"/>
      <c r="R96" s="160" t="n"/>
      <c r="S96" s="160" t="n"/>
      <c r="T96" s="160" t="n"/>
    </row>
    <row r="97" ht="24" customHeight="1" s="97">
      <c r="A97" s="161" t="n"/>
      <c r="B97" s="124" t="n">
        <v>4</v>
      </c>
      <c r="C97" s="124" t="inlineStr">
        <is>
          <t>胡佳新</t>
        </is>
      </c>
      <c r="D97" s="124" t="inlineStr">
        <is>
          <t>金东数创 魏经理</t>
        </is>
      </c>
      <c r="E97" s="124" t="inlineStr">
        <is>
          <t>标准影片，数量待定</t>
        </is>
      </c>
      <c r="F97" s="124" t="inlineStr">
        <is>
          <t>山东球幕/弧幕影院</t>
        </is>
      </c>
      <c r="G97" s="124" t="n"/>
      <c r="H97" s="159" t="inlineStr">
        <is>
          <t>跟进中，预计寒暑假落地</t>
        </is>
      </c>
      <c r="I97" s="160" t="n"/>
      <c r="J97" s="160" t="n"/>
      <c r="K97" s="160" t="n"/>
      <c r="L97" s="160" t="n"/>
      <c r="M97" s="160" t="n"/>
      <c r="N97" s="160" t="n"/>
      <c r="O97" s="160" t="n"/>
      <c r="P97" s="160" t="n"/>
      <c r="Q97" s="160" t="n"/>
      <c r="R97" s="160" t="n"/>
      <c r="S97" s="160" t="n"/>
      <c r="T97" s="160" t="n"/>
    </row>
    <row r="98" ht="24" customHeight="1" s="97">
      <c r="A98" s="161" t="n"/>
      <c r="B98" s="124" t="n">
        <v>5</v>
      </c>
      <c r="C98" s="124" t="inlineStr">
        <is>
          <t>胡佳新</t>
        </is>
      </c>
      <c r="D98" s="124" t="inlineStr">
        <is>
          <t>金东数创 魏经理</t>
        </is>
      </c>
      <c r="E98" s="124" t="inlineStr">
        <is>
          <t>无限方舟</t>
        </is>
      </c>
      <c r="F98" s="124" t="inlineStr">
        <is>
          <t>山东烟台</t>
        </is>
      </c>
      <c r="G98" s="124" t="n"/>
      <c r="H98" s="159" t="inlineStr">
        <is>
          <t>跟进中</t>
        </is>
      </c>
      <c r="I98" s="160" t="n"/>
      <c r="J98" s="160" t="n"/>
      <c r="K98" s="160" t="n"/>
      <c r="L98" s="160" t="n"/>
      <c r="M98" s="160" t="n"/>
      <c r="N98" s="160" t="n"/>
      <c r="O98" s="160" t="n"/>
      <c r="P98" s="160" t="n"/>
      <c r="Q98" s="160" t="n"/>
      <c r="R98" s="160" t="n"/>
      <c r="S98" s="160" t="n"/>
      <c r="T98" s="160" t="n"/>
    </row>
    <row r="99" ht="24" customHeight="1" s="97">
      <c r="A99" s="161" t="n"/>
      <c r="B99" s="124" t="n">
        <v>6</v>
      </c>
      <c r="C99" s="124" t="inlineStr">
        <is>
          <t>胡佳新</t>
        </is>
      </c>
      <c r="D99" s="124" t="inlineStr">
        <is>
          <t>金东数创 魏经理</t>
        </is>
      </c>
      <c r="E99" s="175" t="inlineStr">
        <is>
          <t>元宇宙剧场</t>
        </is>
      </c>
      <c r="F99" s="124" t="inlineStr">
        <is>
          <t>浙江长兴（项目保密阶段）</t>
        </is>
      </c>
      <c r="G99" s="124" t="n"/>
      <c r="H99" s="159" t="inlineStr">
        <is>
          <t>跟进中</t>
        </is>
      </c>
      <c r="I99" s="160" t="n"/>
      <c r="J99" s="160" t="n"/>
      <c r="K99" s="160" t="n"/>
      <c r="L99" s="160" t="n"/>
      <c r="M99" s="160" t="n"/>
      <c r="N99" s="160" t="n"/>
      <c r="O99" s="160" t="n"/>
      <c r="P99" s="160" t="n"/>
      <c r="Q99" s="160" t="n"/>
      <c r="R99" s="160" t="n"/>
      <c r="S99" s="160" t="n"/>
      <c r="T99" s="160" t="n"/>
    </row>
    <row r="100" ht="24" customHeight="1" s="97">
      <c r="A100" s="161" t="n"/>
      <c r="B100" s="124" t="n">
        <v>7</v>
      </c>
      <c r="C100" s="124" t="inlineStr">
        <is>
          <t>胡佳新</t>
        </is>
      </c>
      <c r="D100" s="124" t="inlineStr">
        <is>
          <t>中铁隧道局 王主任</t>
        </is>
      </c>
      <c r="E100" s="124" t="inlineStr">
        <is>
          <t>定制影片</t>
        </is>
      </c>
      <c r="F100" s="124" t="inlineStr">
        <is>
          <t>广州南沙 隧道博物馆</t>
        </is>
      </c>
      <c r="G100" s="131" t="n"/>
      <c r="H100" s="159" t="inlineStr">
        <is>
          <t>150w定制影片，周六要去给甲方汇报</t>
        </is>
      </c>
      <c r="I100" s="160" t="n"/>
      <c r="J100" s="160" t="n"/>
      <c r="K100" s="160" t="n"/>
      <c r="L100" s="160" t="n"/>
      <c r="M100" s="160" t="n"/>
      <c r="N100" s="160" t="n"/>
      <c r="O100" s="160" t="n"/>
      <c r="P100" s="160" t="n"/>
      <c r="Q100" s="160" t="n"/>
      <c r="R100" s="160" t="n"/>
      <c r="S100" s="160" t="n"/>
      <c r="T100" s="160" t="n"/>
    </row>
    <row r="101" ht="24" customHeight="1" s="97">
      <c r="A101" s="161" t="n"/>
      <c r="B101" s="124" t="n">
        <v>8</v>
      </c>
      <c r="C101" s="124" t="inlineStr">
        <is>
          <t>胡佳新</t>
        </is>
      </c>
      <c r="D101" s="124" t="inlineStr">
        <is>
          <t>广州坤域 陈宇</t>
        </is>
      </c>
      <c r="E101" s="124" t="inlineStr">
        <is>
          <t>沙盘+VR定制+XR大空间</t>
        </is>
      </c>
      <c r="F101" s="124" t="inlineStr">
        <is>
          <t>澳门飞索zipcity</t>
        </is>
      </c>
      <c r="G101" s="124" t="n"/>
      <c r="H101" s="159" t="inlineStr">
        <is>
          <t>105w，跟进中，暂无反馈</t>
        </is>
      </c>
      <c r="I101" s="160" t="n"/>
      <c r="J101" s="160" t="n"/>
      <c r="K101" s="160" t="n"/>
      <c r="L101" s="160" t="n"/>
      <c r="M101" s="160" t="n"/>
      <c r="N101" s="160" t="n"/>
      <c r="O101" s="160" t="n"/>
      <c r="P101" s="160" t="n"/>
      <c r="Q101" s="160" t="n"/>
      <c r="R101" s="160" t="n"/>
      <c r="S101" s="160" t="n"/>
      <c r="T101" s="160" t="n"/>
    </row>
    <row r="102" ht="24" customHeight="1" s="97">
      <c r="A102" s="161" t="n"/>
      <c r="B102" s="124" t="n">
        <v>9</v>
      </c>
      <c r="C102" s="124" t="inlineStr">
        <is>
          <t>胡佳新</t>
        </is>
      </c>
      <c r="D102" s="124" t="inlineStr">
        <is>
          <t>广州坤域 陈宇</t>
        </is>
      </c>
      <c r="E102" s="124" t="inlineStr">
        <is>
          <t>飞行影院</t>
        </is>
      </c>
      <c r="F102" s="124" t="inlineStr">
        <is>
          <t>叶卡捷琳堡·俄罗斯</t>
        </is>
      </c>
      <c r="G102" s="124" t="n"/>
      <c r="H102" s="159" t="inlineStr">
        <is>
          <t>36w/96w，投影版/led版，跟进中</t>
        </is>
      </c>
      <c r="I102" s="160" t="n"/>
      <c r="J102" s="160" t="n"/>
      <c r="K102" s="160" t="n"/>
      <c r="L102" s="160" t="n"/>
      <c r="M102" s="160" t="n"/>
      <c r="N102" s="160" t="n"/>
      <c r="O102" s="160" t="n"/>
      <c r="P102" s="176" t="n"/>
      <c r="Q102" s="176" t="n"/>
      <c r="R102" s="176" t="n"/>
      <c r="S102" s="176" t="n"/>
      <c r="T102" s="176" t="n"/>
    </row>
    <row r="103" ht="24" customHeight="1" s="97">
      <c r="A103" s="161" t="n"/>
      <c r="B103" s="124" t="n">
        <v>10</v>
      </c>
      <c r="C103" s="124" t="inlineStr">
        <is>
          <t>胡佳新</t>
        </is>
      </c>
      <c r="D103" s="124" t="inlineStr">
        <is>
          <t>市场营销部经理 顾超</t>
        </is>
      </c>
      <c r="E103" s="124" t="inlineStr">
        <is>
          <t>25分钟VR大空间定制</t>
        </is>
      </c>
      <c r="F103" s="124" t="inlineStr">
        <is>
          <t>陕西省汉中市石门栈道风景区</t>
        </is>
      </c>
      <c r="G103" s="124" t="n"/>
      <c r="H103" s="159" t="inlineStr">
        <is>
          <t>320w，项目还在预批阶段</t>
        </is>
      </c>
      <c r="I103" s="160" t="n"/>
      <c r="J103" s="160" t="n"/>
      <c r="K103" s="160" t="n"/>
      <c r="L103" s="160" t="n"/>
      <c r="M103" s="160" t="n"/>
      <c r="N103" s="160" t="n"/>
      <c r="O103" s="160" t="n"/>
      <c r="P103" s="176" t="n"/>
      <c r="Q103" s="176" t="n"/>
      <c r="R103" s="176" t="n"/>
      <c r="S103" s="176" t="n"/>
      <c r="T103" s="176" t="n"/>
    </row>
    <row r="104" ht="24" customHeight="1" s="97">
      <c r="A104" s="161" t="n"/>
      <c r="B104" s="124" t="n">
        <v>11</v>
      </c>
      <c r="C104" s="124" t="inlineStr">
        <is>
          <t>胡佳新</t>
        </is>
      </c>
      <c r="D104" s="124" t="inlineStr">
        <is>
          <t>广州欢普乐机械有限公司 窦总</t>
        </is>
      </c>
      <c r="E104" s="124" t="inlineStr">
        <is>
          <t>元宇宙剧场/飞行影院</t>
        </is>
      </c>
      <c r="F104" s="124" t="inlineStr">
        <is>
          <t>俄罗斯某儿童乐园（客户未告知渠道）</t>
        </is>
      </c>
      <c r="G104" s="124" t="n"/>
      <c r="H104" s="159" t="inlineStr">
        <is>
          <t>60w/30w/75w，客户还在考虑方案</t>
        </is>
      </c>
      <c r="I104" s="160" t="n"/>
      <c r="J104" s="160" t="n"/>
      <c r="K104" s="160" t="n"/>
      <c r="L104" s="160" t="n"/>
      <c r="M104" s="160" t="n"/>
      <c r="N104" s="160" t="n"/>
      <c r="O104" s="160" t="n"/>
      <c r="P104" s="176" t="n"/>
      <c r="Q104" s="176" t="n"/>
      <c r="R104" s="176" t="n"/>
      <c r="S104" s="176" t="n"/>
      <c r="T104" s="176" t="n"/>
    </row>
    <row r="105" ht="28" customHeight="1" s="97">
      <c r="A105" s="161" t="n"/>
      <c r="B105" s="120" t="inlineStr">
        <is>
          <t>个人月度合计：</t>
        </is>
      </c>
      <c r="C105" s="156" t="n"/>
      <c r="D105" s="156" t="n"/>
      <c r="E105" s="156" t="n"/>
      <c r="F105" s="156" t="n"/>
      <c r="G105" s="156" t="n"/>
      <c r="H105" s="157" t="n"/>
      <c r="I105" s="164">
        <f>SUM(I94:I104)</f>
        <v/>
      </c>
      <c r="J105" s="164">
        <f>SUM(J94:J104)</f>
        <v/>
      </c>
      <c r="K105" s="164">
        <f>SUM(K94:K104)</f>
        <v/>
      </c>
      <c r="L105" s="164">
        <f>SUM(L94:L104)</f>
        <v/>
      </c>
      <c r="M105" s="164">
        <f>SUM(M94:M104)</f>
        <v/>
      </c>
      <c r="N105" s="164">
        <f>SUM(N94:N104)</f>
        <v/>
      </c>
      <c r="O105" s="164">
        <f>SUM(O94:O104)</f>
        <v/>
      </c>
      <c r="P105" s="164">
        <f>SUM(P94:P104)</f>
        <v/>
      </c>
      <c r="Q105" s="164">
        <f>SUM(Q94:Q104)</f>
        <v/>
      </c>
      <c r="R105" s="164">
        <f>SUM(R94:R104)</f>
        <v/>
      </c>
      <c r="S105" s="164">
        <f>SUM(S94:S104)</f>
        <v/>
      </c>
      <c r="T105" s="164">
        <f>SUM(T94:T104)</f>
        <v/>
      </c>
    </row>
    <row r="106" ht="28" customHeight="1" s="97">
      <c r="A106" s="161" t="n"/>
      <c r="B106" s="120" t="inlineStr">
        <is>
          <t>个人季度合计：</t>
        </is>
      </c>
      <c r="C106" s="156" t="n"/>
      <c r="D106" s="156" t="n"/>
      <c r="E106" s="156" t="n"/>
      <c r="F106" s="156" t="n"/>
      <c r="G106" s="156" t="n"/>
      <c r="H106" s="157" t="n"/>
      <c r="I106" s="164">
        <f>SUM(I105:K105)</f>
        <v/>
      </c>
      <c r="J106" s="156" t="n"/>
      <c r="K106" s="157" t="n"/>
      <c r="L106" s="164">
        <f>SUM(L105:N105)</f>
        <v/>
      </c>
      <c r="M106" s="156" t="n"/>
      <c r="N106" s="157" t="n"/>
      <c r="O106" s="164">
        <f>SUM(O105:Q105)</f>
        <v/>
      </c>
      <c r="P106" s="156" t="n"/>
      <c r="Q106" s="157" t="n"/>
      <c r="R106" s="164">
        <f>SUM(R105:T105)</f>
        <v/>
      </c>
      <c r="S106" s="156" t="n"/>
      <c r="T106" s="157" t="n"/>
    </row>
    <row r="107" ht="28" customHeight="1" s="97">
      <c r="A107" s="161" t="n"/>
      <c r="B107" s="120" t="inlineStr">
        <is>
          <t>个人年度合计：</t>
        </is>
      </c>
      <c r="C107" s="156" t="n"/>
      <c r="D107" s="156" t="n"/>
      <c r="E107" s="156" t="n"/>
      <c r="F107" s="156" t="n"/>
      <c r="G107" s="156" t="n"/>
      <c r="H107" s="157" t="n"/>
      <c r="I107" s="164">
        <f>SUM(I105:T105)</f>
        <v/>
      </c>
      <c r="J107" s="156" t="n"/>
      <c r="K107" s="156" t="n"/>
      <c r="L107" s="156" t="n"/>
      <c r="M107" s="156" t="n"/>
      <c r="N107" s="156" t="n"/>
      <c r="O107" s="156" t="n"/>
      <c r="P107" s="156" t="n"/>
      <c r="Q107" s="156" t="n"/>
      <c r="R107" s="156" t="n"/>
      <c r="S107" s="156" t="n"/>
      <c r="T107" s="157" t="n"/>
    </row>
    <row r="108" ht="18" customHeight="1" s="97">
      <c r="A108" s="161" t="n"/>
      <c r="B108" s="124" t="n"/>
      <c r="C108" s="156" t="n"/>
      <c r="D108" s="156" t="n"/>
      <c r="E108" s="156" t="n"/>
      <c r="F108" s="156" t="n"/>
      <c r="G108" s="156" t="n"/>
      <c r="H108" s="156" t="n"/>
      <c r="I108" s="156" t="n"/>
      <c r="J108" s="156" t="n"/>
      <c r="K108" s="156" t="n"/>
      <c r="L108" s="156" t="n"/>
      <c r="M108" s="156" t="n"/>
      <c r="N108" s="156" t="n"/>
      <c r="O108" s="156" t="n"/>
      <c r="P108" s="156" t="n"/>
      <c r="Q108" s="156" t="n"/>
      <c r="R108" s="156" t="n"/>
      <c r="S108" s="156" t="n"/>
      <c r="T108" s="157" t="n"/>
    </row>
    <row r="109" ht="28" customHeight="1" s="97">
      <c r="A109" s="161" t="n"/>
      <c r="B109" s="145" t="inlineStr">
        <is>
          <t>小组月度合计：</t>
        </is>
      </c>
      <c r="C109" s="156" t="n"/>
      <c r="D109" s="156" t="n"/>
      <c r="E109" s="156" t="n"/>
      <c r="F109" s="156" t="n"/>
      <c r="G109" s="156" t="n"/>
      <c r="H109" s="157" t="n"/>
      <c r="I109" s="166">
        <f>SUM(I63,I90,I105)</f>
        <v/>
      </c>
      <c r="J109" s="166">
        <f>SUM(J63,J90,J105)</f>
        <v/>
      </c>
      <c r="K109" s="166">
        <f>SUM(K63,K90,K105)</f>
        <v/>
      </c>
      <c r="L109" s="166">
        <f>SUM(L63,L90,L105)</f>
        <v/>
      </c>
      <c r="M109" s="166">
        <f>SUM(M63,M90,M105)</f>
        <v/>
      </c>
      <c r="N109" s="166">
        <f>SUM(N63,N90,N105)</f>
        <v/>
      </c>
      <c r="O109" s="166">
        <f>SUM(O63,O90,O105)</f>
        <v/>
      </c>
      <c r="P109" s="166">
        <f>SUM(P63,P90,P105)</f>
        <v/>
      </c>
      <c r="Q109" s="166">
        <f>SUM(Q63,Q90,Q105)</f>
        <v/>
      </c>
      <c r="R109" s="166">
        <f>SUM(R63,R90,R105)</f>
        <v/>
      </c>
      <c r="S109" s="166">
        <f>SUM(S63,S90,S105)</f>
        <v/>
      </c>
      <c r="T109" s="166">
        <f>SUM(T63,T90,T105)</f>
        <v/>
      </c>
    </row>
    <row r="110" ht="28" customHeight="1" s="97">
      <c r="A110" s="161" t="n"/>
      <c r="B110" s="145" t="inlineStr">
        <is>
          <t>小组季度合计：</t>
        </is>
      </c>
      <c r="C110" s="156" t="n"/>
      <c r="D110" s="156" t="n"/>
      <c r="E110" s="156" t="n"/>
      <c r="F110" s="156" t="n"/>
      <c r="G110" s="156" t="n"/>
      <c r="H110" s="157" t="n"/>
      <c r="I110" s="166">
        <f>SUM(I109:K109)</f>
        <v/>
      </c>
      <c r="J110" s="156" t="n"/>
      <c r="K110" s="157" t="n"/>
      <c r="L110" s="166">
        <f>SUM(L109:N109)</f>
        <v/>
      </c>
      <c r="M110" s="156" t="n"/>
      <c r="N110" s="157" t="n"/>
      <c r="O110" s="166">
        <f>SUM(O109:Q109)</f>
        <v/>
      </c>
      <c r="P110" s="156" t="n"/>
      <c r="Q110" s="157" t="n"/>
      <c r="R110" s="166">
        <f>SUM(R109:T109)</f>
        <v/>
      </c>
      <c r="S110" s="156" t="n"/>
      <c r="T110" s="157" t="n"/>
    </row>
    <row r="111" ht="28" customHeight="1" s="97">
      <c r="A111" s="158" t="n"/>
      <c r="B111" s="145" t="inlineStr">
        <is>
          <t>小组年度合计：</t>
        </is>
      </c>
      <c r="C111" s="156" t="n"/>
      <c r="D111" s="156" t="n"/>
      <c r="E111" s="156" t="n"/>
      <c r="F111" s="156" t="n"/>
      <c r="G111" s="156" t="n"/>
      <c r="H111" s="157" t="n"/>
      <c r="I111" s="166">
        <f>SUM(I109:T109)</f>
        <v/>
      </c>
      <c r="J111" s="156" t="n"/>
      <c r="K111" s="156" t="n"/>
      <c r="L111" s="156" t="n"/>
      <c r="M111" s="156" t="n"/>
      <c r="N111" s="156" t="n"/>
      <c r="O111" s="156" t="n"/>
      <c r="P111" s="156" t="n"/>
      <c r="Q111" s="156" t="n"/>
      <c r="R111" s="156" t="n"/>
      <c r="S111" s="156" t="n"/>
      <c r="T111" s="157" t="n"/>
    </row>
    <row r="112" ht="18" customHeight="1" s="97">
      <c r="A112" s="147" t="n"/>
      <c r="B112" s="156" t="n"/>
      <c r="C112" s="156" t="n"/>
      <c r="D112" s="156" t="n"/>
      <c r="E112" s="156" t="n"/>
      <c r="F112" s="156" t="n"/>
      <c r="G112" s="156" t="n"/>
      <c r="H112" s="156" t="n"/>
      <c r="I112" s="156" t="n"/>
      <c r="J112" s="156" t="n"/>
      <c r="K112" s="156" t="n"/>
      <c r="L112" s="156" t="n"/>
      <c r="M112" s="156" t="n"/>
      <c r="N112" s="156" t="n"/>
      <c r="O112" s="156" t="n"/>
      <c r="P112" s="156" t="n"/>
      <c r="Q112" s="156" t="n"/>
      <c r="R112" s="156" t="n"/>
      <c r="S112" s="156" t="n"/>
      <c r="T112" s="157" t="n"/>
    </row>
    <row r="113" hidden="1" ht="24" customHeight="1" s="97">
      <c r="A113" s="167" t="inlineStr">
        <is>
          <t>翱翔组</t>
        </is>
      </c>
      <c r="B113" s="131" t="n"/>
      <c r="C113" s="131" t="inlineStr">
        <is>
          <t>吴傲翔</t>
        </is>
      </c>
      <c r="D113" s="131" t="inlineStr">
        <is>
          <t>黄巧丽</t>
        </is>
      </c>
      <c r="E113" s="131" t="inlineStr">
        <is>
          <t>大空间租赁</t>
        </is>
      </c>
      <c r="F113" s="131" t="inlineStr">
        <is>
          <t>丽水</t>
        </is>
      </c>
      <c r="G113" s="131" t="n"/>
      <c r="H113" s="177" t="n">
        <v>10000</v>
      </c>
      <c r="I113" s="176" t="n"/>
      <c r="J113" s="176" t="n"/>
      <c r="K113" s="176" t="n"/>
      <c r="L113" s="176" t="n"/>
      <c r="M113" s="176" t="n"/>
      <c r="N113" s="176" t="n"/>
      <c r="O113" s="176" t="n"/>
      <c r="P113" s="178" t="n"/>
      <c r="Q113" s="178" t="n"/>
      <c r="R113" s="178" t="n"/>
      <c r="S113" s="178" t="n"/>
      <c r="T113" s="178" t="n"/>
    </row>
    <row r="114" hidden="1" ht="24" customHeight="1" s="97">
      <c r="A114" s="161" t="n"/>
      <c r="B114" s="162" t="n"/>
      <c r="C114" s="162" t="inlineStr">
        <is>
          <t>吴傲翔</t>
        </is>
      </c>
      <c r="D114" s="162" t="inlineStr">
        <is>
          <t>上海笔克展览展示</t>
        </is>
      </c>
      <c r="E114" s="162" t="inlineStr">
        <is>
          <t>AR内容定制</t>
        </is>
      </c>
      <c r="F114" s="162" t="n"/>
      <c r="G114" s="162" t="n"/>
      <c r="H114" s="163" t="inlineStr">
        <is>
          <t>价格待定，跟进中</t>
        </is>
      </c>
      <c r="I114" s="178" t="n"/>
      <c r="J114" s="178" t="n"/>
      <c r="K114" s="178" t="n"/>
      <c r="L114" s="178" t="n"/>
      <c r="M114" s="178" t="n"/>
      <c r="N114" s="178" t="n"/>
      <c r="O114" s="178" t="n"/>
      <c r="P114" s="176" t="n"/>
      <c r="Q114" s="176" t="n"/>
      <c r="R114" s="176" t="n"/>
      <c r="S114" s="176" t="n"/>
      <c r="T114" s="176" t="n"/>
    </row>
    <row r="115" hidden="1" ht="24" customHeight="1" s="97">
      <c r="A115" s="161" t="n"/>
      <c r="B115" s="162" t="n"/>
      <c r="C115" s="131" t="inlineStr">
        <is>
          <t>吴傲翔</t>
        </is>
      </c>
      <c r="D115" s="131" t="inlineStr">
        <is>
          <t>巅峰</t>
        </is>
      </c>
      <c r="E115" s="131" t="inlineStr">
        <is>
          <t>大空间</t>
        </is>
      </c>
      <c r="F115" s="131" t="inlineStr">
        <is>
          <t>河北</t>
        </is>
      </c>
      <c r="G115" s="131" t="n"/>
      <c r="H115" s="177" t="inlineStr">
        <is>
          <t>预计6月份，118860</t>
        </is>
      </c>
      <c r="I115" s="176" t="n"/>
      <c r="J115" s="176" t="n"/>
      <c r="K115" s="176" t="n"/>
      <c r="L115" s="176" t="n"/>
      <c r="M115" s="176" t="n"/>
      <c r="N115" s="176" t="n"/>
      <c r="O115" s="176" t="n"/>
      <c r="P115" s="176" t="n"/>
      <c r="Q115" s="176" t="n"/>
      <c r="R115" s="176" t="n"/>
      <c r="S115" s="176" t="n"/>
      <c r="T115" s="176" t="n"/>
    </row>
    <row r="116" hidden="1" ht="24" customHeight="1" s="97">
      <c r="A116" s="161" t="n"/>
      <c r="B116" s="162" t="n"/>
      <c r="C116" s="131" t="inlineStr">
        <is>
          <t>吴傲翔</t>
        </is>
      </c>
      <c r="D116" s="131" t="inlineStr">
        <is>
          <t>卓远</t>
        </is>
      </c>
      <c r="E116" s="131" t="inlineStr">
        <is>
          <t>元宇宙剧场*2</t>
        </is>
      </c>
      <c r="F116" s="131" t="inlineStr">
        <is>
          <t>马来西亚</t>
        </is>
      </c>
      <c r="G116" s="131" t="n"/>
      <c r="H116" s="177" t="n">
        <v>2400000</v>
      </c>
      <c r="I116" s="176" t="n"/>
      <c r="J116" s="176" t="n"/>
      <c r="K116" s="176" t="n"/>
      <c r="L116" s="176" t="n"/>
      <c r="M116" s="176" t="n"/>
      <c r="N116" s="176" t="n"/>
      <c r="O116" s="176" t="n"/>
      <c r="P116" s="160" t="n"/>
      <c r="Q116" s="160" t="n"/>
      <c r="R116" s="160" t="n"/>
      <c r="S116" s="160" t="n"/>
      <c r="T116" s="160" t="n"/>
    </row>
    <row r="117" ht="28" customHeight="1" s="97">
      <c r="A117" s="161" t="n"/>
      <c r="B117" s="120" t="inlineStr">
        <is>
          <t>个人月度合计：</t>
        </is>
      </c>
      <c r="C117" s="156" t="n"/>
      <c r="D117" s="156" t="n"/>
      <c r="E117" s="156" t="n"/>
      <c r="F117" s="156" t="n"/>
      <c r="G117" s="156" t="n"/>
      <c r="H117" s="157" t="n"/>
      <c r="I117" s="164">
        <f>SUM(I113:I116)</f>
        <v/>
      </c>
      <c r="J117" s="164">
        <f>SUM(J113:J116)</f>
        <v/>
      </c>
      <c r="K117" s="164">
        <f>SUM(K113:K116)</f>
        <v/>
      </c>
      <c r="L117" s="164">
        <f>SUM(L113:L116)</f>
        <v/>
      </c>
      <c r="M117" s="164">
        <f>SUM(M113:M116)</f>
        <v/>
      </c>
      <c r="N117" s="164">
        <f>SUM(N113:N116)</f>
        <v/>
      </c>
      <c r="O117" s="164">
        <f>SUM(O113:O116)</f>
        <v/>
      </c>
      <c r="P117" s="164">
        <f>SUM(P113:P116)</f>
        <v/>
      </c>
      <c r="Q117" s="164">
        <f>SUM(Q113:Q116)</f>
        <v/>
      </c>
      <c r="R117" s="164">
        <f>SUM(R113:R116)</f>
        <v/>
      </c>
      <c r="S117" s="164">
        <f>SUM(S113:S116)</f>
        <v/>
      </c>
      <c r="T117" s="164">
        <f>SUM(T113:T116)</f>
        <v/>
      </c>
    </row>
    <row r="118" ht="28" customHeight="1" s="97">
      <c r="A118" s="161" t="n"/>
      <c r="B118" s="120" t="inlineStr">
        <is>
          <t>个人季度合计：</t>
        </is>
      </c>
      <c r="C118" s="156" t="n"/>
      <c r="D118" s="156" t="n"/>
      <c r="E118" s="156" t="n"/>
      <c r="F118" s="156" t="n"/>
      <c r="G118" s="156" t="n"/>
      <c r="H118" s="157" t="n"/>
      <c r="I118" s="164">
        <f>SUM(I117:K117)</f>
        <v/>
      </c>
      <c r="J118" s="156" t="n"/>
      <c r="K118" s="157" t="n"/>
      <c r="L118" s="164">
        <f>SUM(L117:N117)</f>
        <v/>
      </c>
      <c r="M118" s="156" t="n"/>
      <c r="N118" s="157" t="n"/>
      <c r="O118" s="164">
        <f>SUM(O117:Q117)</f>
        <v/>
      </c>
      <c r="P118" s="156" t="n"/>
      <c r="Q118" s="157" t="n"/>
      <c r="R118" s="164">
        <f>SUM(R117:T117)</f>
        <v/>
      </c>
      <c r="S118" s="156" t="n"/>
      <c r="T118" s="157" t="n"/>
    </row>
    <row r="119" ht="28" customHeight="1" s="97">
      <c r="A119" s="161" t="n"/>
      <c r="B119" s="120" t="inlineStr">
        <is>
          <t>个人年度合计：</t>
        </is>
      </c>
      <c r="C119" s="156" t="n"/>
      <c r="D119" s="156" t="n"/>
      <c r="E119" s="156" t="n"/>
      <c r="F119" s="156" t="n"/>
      <c r="G119" s="156" t="n"/>
      <c r="H119" s="157" t="n"/>
      <c r="I119" s="164">
        <f>SUM(I117:T117)</f>
        <v/>
      </c>
      <c r="J119" s="156" t="n"/>
      <c r="K119" s="156" t="n"/>
      <c r="L119" s="156" t="n"/>
      <c r="M119" s="156" t="n"/>
      <c r="N119" s="156" t="n"/>
      <c r="O119" s="156" t="n"/>
      <c r="P119" s="156" t="n"/>
      <c r="Q119" s="156" t="n"/>
      <c r="R119" s="156" t="n"/>
      <c r="S119" s="156" t="n"/>
      <c r="T119" s="157" t="n"/>
    </row>
    <row r="120" ht="18" customHeight="1" s="97">
      <c r="A120" s="161" t="n"/>
      <c r="B120" s="124" t="n"/>
      <c r="C120" s="156" t="n"/>
      <c r="D120" s="156" t="n"/>
      <c r="E120" s="156" t="n"/>
      <c r="F120" s="156" t="n"/>
      <c r="G120" s="156" t="n"/>
      <c r="H120" s="156" t="n"/>
      <c r="I120" s="156" t="n"/>
      <c r="J120" s="156" t="n"/>
      <c r="K120" s="156" t="n"/>
      <c r="L120" s="156" t="n"/>
      <c r="M120" s="156" t="n"/>
      <c r="N120" s="156" t="n"/>
      <c r="O120" s="156" t="n"/>
      <c r="P120" s="156" t="n"/>
      <c r="Q120" s="156" t="n"/>
      <c r="R120" s="156" t="n"/>
      <c r="S120" s="156" t="n"/>
      <c r="T120" s="157" t="n"/>
    </row>
    <row r="121" hidden="1" ht="24" customHeight="1" s="97">
      <c r="A121" s="161" t="n"/>
      <c r="B121" s="124" t="n">
        <v>12</v>
      </c>
      <c r="C121" s="131" t="inlineStr">
        <is>
          <t>胡佳新</t>
        </is>
      </c>
      <c r="D121" s="131" t="inlineStr">
        <is>
          <t>通州运动模型 巩总</t>
        </is>
      </c>
      <c r="E121" s="131" t="inlineStr">
        <is>
          <t>定制沙盘赛车</t>
        </is>
      </c>
      <c r="F121" s="131" t="inlineStr">
        <is>
          <t>北京城市绿心森林公园</t>
        </is>
      </c>
      <c r="G121" s="131" t="n"/>
      <c r="H121" s="177" t="inlineStr">
        <is>
          <t>40w，预计九月份落地</t>
        </is>
      </c>
      <c r="I121" s="176" t="n"/>
      <c r="J121" s="176" t="n"/>
      <c r="K121" s="176" t="n"/>
      <c r="L121" s="176" t="n"/>
      <c r="M121" s="176" t="n"/>
      <c r="N121" s="176" t="n"/>
      <c r="O121" s="176" t="n"/>
      <c r="P121" s="176" t="n"/>
      <c r="Q121" s="176" t="n"/>
      <c r="R121" s="176" t="n"/>
      <c r="S121" s="176" t="n"/>
      <c r="T121" s="176" t="n"/>
    </row>
    <row r="122" hidden="1" ht="24" customHeight="1" s="97">
      <c r="A122" s="161" t="n"/>
      <c r="B122" s="124" t="n">
        <v>13</v>
      </c>
      <c r="C122" s="131" t="inlineStr">
        <is>
          <t>胡佳新</t>
        </is>
      </c>
      <c r="D122" s="131" t="inlineStr">
        <is>
          <t>直客 赖总</t>
        </is>
      </c>
      <c r="E122" s="131" t="inlineStr">
        <is>
          <t>10人大空间买断</t>
        </is>
      </c>
      <c r="F122" s="131" t="inlineStr">
        <is>
          <t>四川眉山东坡芭拉拉综合潮玩馆</t>
        </is>
      </c>
      <c r="G122" s="131" t="n"/>
      <c r="H122" s="177" t="inlineStr">
        <is>
          <t>月底会确定选品，25w</t>
        </is>
      </c>
      <c r="I122" s="176" t="n"/>
      <c r="J122" s="176" t="n"/>
      <c r="K122" s="176" t="n"/>
      <c r="L122" s="176" t="n"/>
      <c r="M122" s="176" t="n"/>
      <c r="N122" s="176" t="n"/>
      <c r="O122" s="176" t="n"/>
      <c r="P122" s="176" t="n"/>
      <c r="Q122" s="176" t="n"/>
      <c r="R122" s="176" t="n"/>
      <c r="S122" s="176" t="n"/>
      <c r="T122" s="176" t="n"/>
    </row>
    <row r="123" hidden="1" ht="24" customHeight="1" s="97">
      <c r="A123" s="161" t="n"/>
      <c r="B123" s="124" t="n">
        <v>14</v>
      </c>
      <c r="C123" s="131" t="inlineStr">
        <is>
          <t>胡佳新</t>
        </is>
      </c>
      <c r="D123" s="131" t="inlineStr">
        <is>
          <t>赋助智能 杨经理</t>
        </is>
      </c>
      <c r="E123" s="131" t="inlineStr">
        <is>
          <t>标准影片</t>
        </is>
      </c>
      <c r="F123" s="131" t="inlineStr">
        <is>
          <t>国外</t>
        </is>
      </c>
      <c r="G123" s="131" t="n"/>
      <c r="H123" s="177" t="inlineStr">
        <is>
          <t>需求1套标准影片，需要俄语和英文双语切换，定价8W，暂无后续</t>
        </is>
      </c>
      <c r="I123" s="176" t="n"/>
      <c r="J123" s="176" t="n"/>
      <c r="K123" s="176" t="n"/>
      <c r="L123" s="176" t="n"/>
      <c r="M123" s="176" t="n"/>
      <c r="N123" s="176" t="n"/>
      <c r="O123" s="176" t="n"/>
      <c r="P123" s="176" t="n"/>
      <c r="Q123" s="176" t="n"/>
      <c r="R123" s="176" t="n"/>
      <c r="S123" s="176" t="n"/>
      <c r="T123" s="176" t="n"/>
    </row>
    <row r="124" hidden="1" ht="24" customHeight="1" s="97">
      <c r="A124" s="161" t="n"/>
      <c r="B124" s="124" t="n">
        <v>15</v>
      </c>
      <c r="C124" s="131" t="inlineStr">
        <is>
          <t>胡佳新</t>
        </is>
      </c>
      <c r="D124" s="131" t="inlineStr">
        <is>
          <t>浙江金华 徐总</t>
        </is>
      </c>
      <c r="E124" s="131" t="inlineStr">
        <is>
          <t>10人CS枪战</t>
        </is>
      </c>
      <c r="F124" s="131" t="inlineStr">
        <is>
          <t>浙江金华旱冰场</t>
        </is>
      </c>
      <c r="G124" s="131" t="n"/>
      <c r="H124" s="177" t="inlineStr">
        <is>
          <t>大概是有2000平方米旱冰场，场地还没定下来，在打官司。等场地定下来之后会过来公司考察。</t>
        </is>
      </c>
      <c r="I124" s="176" t="n"/>
      <c r="J124" s="176" t="n"/>
      <c r="K124" s="176" t="n"/>
      <c r="L124" s="176" t="n"/>
      <c r="M124" s="176" t="n"/>
      <c r="N124" s="176" t="n"/>
      <c r="O124" s="176" t="n"/>
      <c r="P124" s="176" t="n"/>
      <c r="Q124" s="176" t="n"/>
      <c r="R124" s="176" t="n"/>
      <c r="S124" s="176" t="n"/>
      <c r="T124" s="176" t="n"/>
    </row>
    <row r="125" hidden="1" ht="24" customHeight="1" s="97">
      <c r="A125" s="161" t="n"/>
      <c r="B125" s="124" t="n">
        <v>16</v>
      </c>
      <c r="C125" s="131" t="inlineStr">
        <is>
          <t>胡佳新</t>
        </is>
      </c>
      <c r="D125" s="131" t="inlineStr">
        <is>
          <t>北京汇融 张总</t>
        </is>
      </c>
      <c r="E125" s="131" t="inlineStr">
        <is>
          <t>标准影片</t>
        </is>
      </c>
      <c r="F125" s="131" t="inlineStr">
        <is>
          <t>青海球幕影院/4D巨幕影院</t>
        </is>
      </c>
      <c r="G125" s="131" t="n"/>
      <c r="H125" s="177" t="inlineStr">
        <is>
          <t>老客户询单，暂时还没有进展。</t>
        </is>
      </c>
      <c r="I125" s="176" t="n"/>
      <c r="J125" s="176" t="n"/>
      <c r="K125" s="176" t="n"/>
      <c r="L125" s="176" t="n"/>
      <c r="M125" s="176" t="n"/>
      <c r="N125" s="176" t="n"/>
      <c r="O125" s="176" t="n"/>
      <c r="P125" s="176" t="n"/>
      <c r="Q125" s="176" t="n"/>
      <c r="R125" s="176" t="n"/>
      <c r="S125" s="176" t="n"/>
      <c r="T125" s="176" t="n"/>
    </row>
    <row r="126" hidden="1" ht="24" customHeight="1" s="97">
      <c r="A126" s="161" t="n"/>
      <c r="B126" s="124" t="n">
        <v>17</v>
      </c>
      <c r="C126" s="131" t="inlineStr">
        <is>
          <t>胡佳新</t>
        </is>
      </c>
      <c r="D126" s="131" t="inlineStr">
        <is>
          <t>渠道 严总</t>
        </is>
      </c>
      <c r="E126" s="131" t="inlineStr">
        <is>
          <t>MR卡丁车</t>
        </is>
      </c>
      <c r="F126" s="131" t="inlineStr">
        <is>
          <t>广州番禺疯狂的麦咭官方体验馆</t>
        </is>
      </c>
      <c r="G126" s="131" t="n"/>
      <c r="H126" s="177" t="inlineStr">
        <is>
          <t>前期沟通中</t>
        </is>
      </c>
      <c r="I126" s="176" t="n"/>
      <c r="J126" s="176" t="n"/>
      <c r="K126" s="176" t="n"/>
      <c r="L126" s="176" t="n"/>
      <c r="M126" s="176" t="n"/>
      <c r="N126" s="176" t="n"/>
      <c r="O126" s="176" t="n"/>
      <c r="P126" s="176" t="n"/>
      <c r="Q126" s="176" t="n"/>
      <c r="R126" s="176" t="n"/>
      <c r="S126" s="176" t="n"/>
      <c r="T126" s="176" t="n"/>
    </row>
    <row r="127" hidden="1" ht="24" customHeight="1" s="97">
      <c r="A127" s="161" t="n"/>
      <c r="B127" s="124" t="n">
        <v>18</v>
      </c>
      <c r="C127" s="131" t="inlineStr">
        <is>
          <t>胡佳新</t>
        </is>
      </c>
      <c r="D127" s="131" t="inlineStr">
        <is>
          <t>直客 徐总</t>
        </is>
      </c>
      <c r="E127" s="131" t="inlineStr">
        <is>
          <t>标准影片</t>
        </is>
      </c>
      <c r="F127" s="131" t="inlineStr">
        <is>
          <t>吉林松原市中东新天地购物中心</t>
        </is>
      </c>
      <c r="G127" s="131" t="n"/>
      <c r="H127" s="177" t="inlineStr">
        <is>
          <t>客户要落地一套飞行影院，广州展会来考察了，但时间比较赶没来得及过来我们展厅，展会上做了接待，因为场地问题项目要规划到年前了，后面会再过来考察。</t>
        </is>
      </c>
      <c r="I127" s="176" t="n"/>
      <c r="J127" s="176" t="n"/>
      <c r="K127" s="176" t="n"/>
      <c r="L127" s="176" t="n"/>
      <c r="M127" s="176" t="n"/>
      <c r="N127" s="176" t="n"/>
      <c r="O127" s="176" t="n"/>
      <c r="P127" s="176" t="n"/>
      <c r="Q127" s="176" t="n"/>
      <c r="R127" s="176" t="n"/>
      <c r="S127" s="176" t="n"/>
      <c r="T127" s="176" t="n"/>
    </row>
    <row r="128" hidden="1" ht="24" customHeight="1" s="97">
      <c r="A128" s="161" t="n"/>
      <c r="B128" s="124" t="n">
        <v>19</v>
      </c>
      <c r="C128" s="131" t="inlineStr">
        <is>
          <t>胡佳新</t>
        </is>
      </c>
      <c r="D128" s="131" t="inlineStr">
        <is>
          <t>直客 杨总</t>
        </is>
      </c>
      <c r="E128" s="131" t="inlineStr">
        <is>
          <t>待定</t>
        </is>
      </c>
      <c r="F128" s="131" t="inlineStr">
        <is>
          <t>美国密西西比州</t>
        </is>
      </c>
      <c r="G128" s="131" t="n"/>
      <c r="H128" s="177" t="inlineStr">
        <is>
          <t>客户在密西西比州准备开一个综合馆，有1/3想做潮玩，前期沟通中</t>
        </is>
      </c>
      <c r="I128" s="176" t="n"/>
      <c r="J128" s="176" t="n"/>
      <c r="K128" s="176" t="n"/>
      <c r="L128" s="176" t="n"/>
      <c r="M128" s="176" t="n"/>
      <c r="N128" s="176" t="n"/>
      <c r="O128" s="176" t="n"/>
      <c r="P128" s="176" t="n"/>
      <c r="Q128" s="176" t="n"/>
      <c r="R128" s="176" t="n"/>
      <c r="S128" s="176" t="n"/>
      <c r="T128" s="176" t="n"/>
    </row>
    <row r="129" hidden="1" ht="24" customHeight="1" s="97">
      <c r="A129" s="161" t="n"/>
      <c r="B129" s="124" t="n">
        <v>20</v>
      </c>
      <c r="C129" s="131" t="inlineStr">
        <is>
          <t>胡佳新</t>
        </is>
      </c>
      <c r="D129" s="131" t="inlineStr">
        <is>
          <t>直客 李总</t>
        </is>
      </c>
      <c r="E129" s="131" t="inlineStr">
        <is>
          <t>飞行影院</t>
        </is>
      </c>
      <c r="F129" s="131" t="inlineStr">
        <is>
          <t>临洮祥瑞国际影城</t>
        </is>
      </c>
      <c r="G129" s="131" t="n"/>
      <c r="H129" s="177" t="inlineStr">
        <is>
          <t>客户是一个影城，想做一套飞行影院做研学这块人群，前期沟通中</t>
        </is>
      </c>
      <c r="I129" s="176" t="n"/>
      <c r="J129" s="176" t="n"/>
      <c r="K129" s="176" t="n"/>
      <c r="L129" s="176" t="n"/>
      <c r="M129" s="176" t="n"/>
      <c r="N129" s="176" t="n"/>
      <c r="O129" s="176" t="n"/>
      <c r="P129" s="176" t="n"/>
      <c r="Q129" s="176" t="n"/>
      <c r="R129" s="176" t="n"/>
      <c r="S129" s="176" t="n"/>
      <c r="T129" s="176" t="n"/>
    </row>
    <row r="130" hidden="1" ht="24" customHeight="1" s="97">
      <c r="A130" s="161" t="n"/>
      <c r="B130" s="124" t="n">
        <v>21</v>
      </c>
      <c r="C130" s="131" t="inlineStr">
        <is>
          <t>胡佳新</t>
        </is>
      </c>
      <c r="D130" s="131" t="inlineStr">
        <is>
          <t>超体软件 关总</t>
        </is>
      </c>
      <c r="E130" s="131" t="inlineStr">
        <is>
          <t>大空间租赁+CS买断</t>
        </is>
      </c>
      <c r="F130" s="131" t="inlineStr">
        <is>
          <t>佛山市儿童博物馆</t>
        </is>
      </c>
      <c r="G130" s="131" t="n"/>
      <c r="H130" s="177" t="inlineStr">
        <is>
          <t>上周五接待了客户，博物馆有20台眼镜要新增内容，还是想要多一些互动类的，cs和枪神的游戏觉得还不错，下午还去了别家考察，持续跟进。</t>
        </is>
      </c>
      <c r="I130" s="176" t="n"/>
      <c r="J130" s="176" t="n"/>
      <c r="K130" s="176" t="n"/>
      <c r="L130" s="176" t="n"/>
      <c r="M130" s="176" t="n"/>
      <c r="N130" s="176" t="n"/>
      <c r="O130" s="176" t="n"/>
      <c r="P130" s="176" t="n"/>
      <c r="Q130" s="176" t="n"/>
      <c r="R130" s="176" t="n"/>
      <c r="S130" s="176" t="n"/>
      <c r="T130" s="176" t="n"/>
    </row>
    <row r="131" hidden="1" ht="24" customHeight="1" s="97">
      <c r="A131" s="161" t="n"/>
      <c r="B131" s="124" t="n">
        <v>22</v>
      </c>
      <c r="C131" s="131" t="inlineStr">
        <is>
          <t>胡佳新</t>
        </is>
      </c>
      <c r="D131" s="131" t="inlineStr">
        <is>
          <t>直客 赖总</t>
        </is>
      </c>
      <c r="E131" s="131" t="inlineStr">
        <is>
          <t>10人大空间买断</t>
        </is>
      </c>
      <c r="F131" s="131" t="inlineStr">
        <is>
          <t>四川眉山东坡芭拉拉综合潮玩馆</t>
        </is>
      </c>
      <c r="G131" s="131" t="n"/>
      <c r="H131" s="177" t="inlineStr">
        <is>
          <t>客户是一个综合足浴馆，有200多平米要拿来做潮玩，给客户做了规划，这段时间客户在工地上忙着，忙完会找我沟通。</t>
        </is>
      </c>
      <c r="I131" s="176" t="n"/>
      <c r="J131" s="176" t="n"/>
      <c r="K131" s="176" t="n"/>
      <c r="L131" s="176" t="n"/>
      <c r="M131" s="176" t="n"/>
      <c r="N131" s="176" t="n"/>
      <c r="O131" s="176" t="n"/>
      <c r="P131" s="176" t="n"/>
      <c r="Q131" s="176" t="n"/>
      <c r="R131" s="176" t="n"/>
      <c r="S131" s="176" t="n"/>
      <c r="T131" s="176" t="n"/>
    </row>
    <row r="132" hidden="1" ht="24" customHeight="1" s="97">
      <c r="A132" s="161" t="n"/>
      <c r="B132" s="124" t="n">
        <v>23</v>
      </c>
      <c r="C132" s="131" t="inlineStr">
        <is>
          <t>胡佳新</t>
        </is>
      </c>
      <c r="D132" s="131" t="inlineStr">
        <is>
          <t>美谊联 马丹娜</t>
        </is>
      </c>
      <c r="E132" s="131" t="inlineStr">
        <is>
          <t>元宇宙剧场</t>
        </is>
      </c>
      <c r="F132" s="131" t="inlineStr">
        <is>
          <t>保加利亚</t>
        </is>
      </c>
      <c r="G132" s="131" t="n"/>
      <c r="H132" s="177" t="inlineStr">
        <is>
          <t>简单的询单，发了产品资料和报价，持续跟进</t>
        </is>
      </c>
      <c r="I132" s="176" t="n"/>
      <c r="J132" s="176" t="n"/>
      <c r="K132" s="176" t="n"/>
      <c r="L132" s="176" t="n"/>
      <c r="M132" s="176" t="n"/>
      <c r="N132" s="176" t="n"/>
      <c r="O132" s="176" t="n"/>
      <c r="P132" s="176" t="n"/>
      <c r="Q132" s="176" t="n"/>
      <c r="R132" s="176" t="n"/>
      <c r="S132" s="176" t="n"/>
      <c r="T132" s="176" t="n"/>
    </row>
    <row r="133" hidden="1" ht="24" customHeight="1" s="97">
      <c r="A133" s="161" t="n"/>
      <c r="B133" s="124" t="n">
        <v>24</v>
      </c>
      <c r="C133" s="131" t="inlineStr">
        <is>
          <t>胡佳新</t>
        </is>
      </c>
      <c r="D133" s="131" t="inlineStr">
        <is>
          <t>马总，张总</t>
        </is>
      </c>
      <c r="E133" s="131" t="inlineStr">
        <is>
          <t>VR大空间/元宇宙剧场</t>
        </is>
      </c>
      <c r="F133" s="131" t="inlineStr">
        <is>
          <t>北京京北物美大世界</t>
        </is>
      </c>
      <c r="G133" s="131" t="n"/>
      <c r="H133" s="177" t="inlineStr">
        <is>
          <t>目前在给客户做整馆规划，国威，龙程，卓远有参与其中，竞争还是比较大的</t>
        </is>
      </c>
      <c r="I133" s="176" t="n"/>
      <c r="J133" s="176" t="n"/>
      <c r="K133" s="176" t="n"/>
      <c r="L133" s="176" t="n"/>
      <c r="M133" s="176" t="n"/>
      <c r="N133" s="176" t="n"/>
      <c r="O133" s="176" t="n"/>
      <c r="P133" s="176" t="n"/>
      <c r="Q133" s="176" t="n"/>
      <c r="R133" s="176" t="n"/>
      <c r="S133" s="176" t="n"/>
      <c r="T133" s="176" t="n"/>
    </row>
    <row r="134" hidden="1" ht="24" customHeight="1" s="97">
      <c r="A134" s="161" t="n"/>
      <c r="B134" s="124" t="n">
        <v>25</v>
      </c>
      <c r="C134" s="131" t="inlineStr">
        <is>
          <t>胡佳新</t>
        </is>
      </c>
      <c r="D134" s="131" t="inlineStr">
        <is>
          <t>渠道 卓远辉哥</t>
        </is>
      </c>
      <c r="E134" s="131" t="inlineStr">
        <is>
          <t>大空间</t>
        </is>
      </c>
      <c r="F134" s="131" t="inlineStr">
        <is>
          <t>四川省宜宾县兴文石海洞乡旅游区</t>
        </is>
      </c>
      <c r="G134" s="131" t="n"/>
      <c r="H134" s="177" t="inlineStr">
        <is>
          <t>前期沟通中</t>
        </is>
      </c>
      <c r="I134" s="176" t="n"/>
      <c r="J134" s="176" t="n"/>
      <c r="K134" s="176" t="n"/>
      <c r="L134" s="176" t="n"/>
      <c r="M134" s="176" t="n"/>
      <c r="N134" s="176" t="n"/>
      <c r="O134" s="176" t="n"/>
      <c r="P134" s="176" t="n"/>
      <c r="Q134" s="176" t="n"/>
      <c r="R134" s="176" t="n"/>
      <c r="S134" s="176" t="n"/>
      <c r="T134" s="176" t="n"/>
    </row>
    <row r="135" hidden="1" ht="24" customHeight="1" s="97">
      <c r="A135" s="161" t="n"/>
      <c r="B135" s="124" t="n">
        <v>26</v>
      </c>
      <c r="C135" s="131" t="inlineStr">
        <is>
          <t>胡佳新</t>
        </is>
      </c>
      <c r="D135" s="131" t="inlineStr">
        <is>
          <t>渠道 袁总</t>
        </is>
      </c>
      <c r="E135" s="131" t="inlineStr">
        <is>
          <t>整馆待定</t>
        </is>
      </c>
      <c r="F135" s="131" t="inlineStr">
        <is>
          <t>海南天涯海角景区</t>
        </is>
      </c>
      <c r="G135" s="131" t="n"/>
      <c r="H135" s="177" t="inlineStr">
        <is>
          <t>前期沟通中</t>
        </is>
      </c>
      <c r="I135" s="176" t="n"/>
      <c r="J135" s="176" t="n"/>
      <c r="K135" s="176" t="n"/>
      <c r="L135" s="176" t="n"/>
      <c r="M135" s="176" t="n"/>
      <c r="N135" s="176" t="n"/>
      <c r="O135" s="176" t="n"/>
      <c r="P135" s="176" t="n"/>
      <c r="Q135" s="176" t="n"/>
      <c r="R135" s="176" t="n"/>
      <c r="S135" s="176" t="n"/>
      <c r="T135" s="176" t="n"/>
    </row>
    <row r="136" hidden="1" ht="24" customHeight="1" s="97">
      <c r="A136" s="161" t="n"/>
      <c r="B136" s="124" t="n">
        <v>27</v>
      </c>
      <c r="C136" s="131" t="inlineStr">
        <is>
          <t>胡佳新</t>
        </is>
      </c>
      <c r="D136" s="131" t="inlineStr">
        <is>
          <t>直客 曹总</t>
        </is>
      </c>
      <c r="E136" s="131" t="inlineStr">
        <is>
          <t>大空间租赁</t>
        </is>
      </c>
      <c r="F136" s="131" t="inlineStr">
        <is>
          <t>景德镇市·未来VR玩家(景德镇宝龙广场店)</t>
        </is>
      </c>
      <c r="G136" s="131" t="n"/>
      <c r="H136" s="177" t="inlineStr">
        <is>
          <t>商场场地，准备拿100平米空间做VR大空间，想做些大IP产品+我们的产品去做配套。</t>
        </is>
      </c>
      <c r="I136" s="176" t="n"/>
      <c r="J136" s="176" t="n"/>
      <c r="K136" s="176" t="n"/>
      <c r="L136" s="176" t="n"/>
      <c r="M136" s="176" t="n"/>
      <c r="N136" s="176" t="n"/>
      <c r="O136" s="176" t="n"/>
      <c r="P136" s="176" t="n"/>
      <c r="Q136" s="176" t="n"/>
      <c r="R136" s="176" t="n"/>
      <c r="S136" s="176" t="n"/>
      <c r="T136" s="176" t="n"/>
    </row>
    <row r="137" hidden="1" ht="24" customHeight="1" s="97">
      <c r="A137" s="161" t="n"/>
      <c r="B137" s="124" t="n">
        <v>28</v>
      </c>
      <c r="C137" s="131" t="inlineStr">
        <is>
          <t>胡佳新</t>
        </is>
      </c>
      <c r="D137" s="131" t="inlineStr">
        <is>
          <t>投资方官总，运营魏总</t>
        </is>
      </c>
      <c r="E137" s="131" t="inlineStr">
        <is>
          <t>10人VR大空间/8人标准飞行影院</t>
        </is>
      </c>
      <c r="F137" s="131" t="inlineStr">
        <is>
          <t>中山密林水语度假村</t>
        </is>
      </c>
      <c r="G137" s="131" t="n"/>
      <c r="H137" s="177" t="n"/>
      <c r="I137" s="176" t="n"/>
      <c r="J137" s="176" t="n"/>
      <c r="K137" s="176" t="n"/>
      <c r="L137" s="176" t="n"/>
      <c r="M137" s="176" t="n"/>
      <c r="N137" s="176" t="n"/>
      <c r="O137" s="176" t="n"/>
      <c r="P137" s="176" t="n"/>
      <c r="Q137" s="176" t="n"/>
      <c r="R137" s="176" t="n"/>
      <c r="S137" s="176" t="n"/>
      <c r="T137" s="176" t="n"/>
    </row>
    <row r="138" hidden="1" ht="24" customHeight="1" s="97">
      <c r="A138" s="161" t="n"/>
      <c r="B138" s="124" t="n">
        <v>29</v>
      </c>
      <c r="C138" s="131" t="inlineStr">
        <is>
          <t>胡佳新</t>
        </is>
      </c>
      <c r="D138" s="131" t="inlineStr">
        <is>
          <t>渠道 卓远</t>
        </is>
      </c>
      <c r="E138" s="131" t="inlineStr">
        <is>
          <t>MR博物馆</t>
        </is>
      </c>
      <c r="F138" s="131" t="inlineStr">
        <is>
          <t>福建三明科技馆</t>
        </is>
      </c>
      <c r="G138" s="131" t="n"/>
      <c r="H138" s="177" t="n"/>
      <c r="I138" s="176" t="n"/>
      <c r="J138" s="176" t="n"/>
      <c r="K138" s="176" t="n"/>
      <c r="L138" s="176" t="n"/>
      <c r="M138" s="176" t="n"/>
      <c r="N138" s="176" t="n"/>
      <c r="O138" s="176" t="n"/>
      <c r="P138" s="176" t="n"/>
      <c r="Q138" s="176" t="n"/>
      <c r="R138" s="176" t="n"/>
      <c r="S138" s="176" t="n"/>
      <c r="T138" s="176" t="n"/>
    </row>
    <row r="139" hidden="1" ht="24" customHeight="1" s="97">
      <c r="A139" s="161" t="n"/>
      <c r="B139" s="124" t="n">
        <v>30</v>
      </c>
      <c r="C139" s="131" t="inlineStr">
        <is>
          <t>胡佳新</t>
        </is>
      </c>
      <c r="D139" s="131" t="inlineStr">
        <is>
          <t>个体投资 杜总</t>
        </is>
      </c>
      <c r="E139" s="131" t="inlineStr">
        <is>
          <t>大空间纯内容</t>
        </is>
      </c>
      <c r="F139" s="131" t="inlineStr">
        <is>
          <t>北京海淀华熙LIVE</t>
        </is>
      </c>
      <c r="G139" s="131" t="n"/>
      <c r="H139" s="177" t="n"/>
      <c r="I139" s="176" t="n"/>
      <c r="J139" s="176" t="n"/>
      <c r="K139" s="176" t="n"/>
      <c r="L139" s="176" t="n"/>
      <c r="M139" s="176" t="n"/>
      <c r="N139" s="176" t="n"/>
      <c r="O139" s="176" t="n"/>
      <c r="P139" s="176" t="n"/>
      <c r="Q139" s="176" t="n"/>
      <c r="R139" s="176" t="n"/>
      <c r="S139" s="176" t="n"/>
      <c r="T139" s="176" t="n"/>
    </row>
    <row r="140" ht="28" customHeight="1" s="97">
      <c r="A140" s="161" t="n"/>
      <c r="B140" s="120" t="inlineStr">
        <is>
          <t>个人月度合计：</t>
        </is>
      </c>
      <c r="C140" s="156" t="n"/>
      <c r="D140" s="156" t="n"/>
      <c r="E140" s="156" t="n"/>
      <c r="F140" s="156" t="n"/>
      <c r="G140" s="156" t="n"/>
      <c r="H140" s="157" t="n"/>
      <c r="I140" s="164">
        <f>SUM(I121:I139)</f>
        <v/>
      </c>
      <c r="J140" s="164">
        <f>SUM(J121:J139)</f>
        <v/>
      </c>
      <c r="K140" s="164">
        <f>SUM(K121:K139)</f>
        <v/>
      </c>
      <c r="L140" s="164">
        <f>SUM(L121:L139)</f>
        <v/>
      </c>
      <c r="M140" s="164">
        <f>SUM(M121:M139)</f>
        <v/>
      </c>
      <c r="N140" s="164">
        <f>SUM(N121:N139)</f>
        <v/>
      </c>
      <c r="O140" s="164">
        <f>SUM(O121:O139)</f>
        <v/>
      </c>
      <c r="P140" s="164">
        <f>SUM(P121:P139)</f>
        <v/>
      </c>
      <c r="Q140" s="164">
        <f>SUM(Q121:Q139)</f>
        <v/>
      </c>
      <c r="R140" s="164">
        <f>SUM(R121:R139)</f>
        <v/>
      </c>
      <c r="S140" s="164">
        <f>SUM(S121:S139)</f>
        <v/>
      </c>
      <c r="T140" s="164">
        <f>SUM(T121:T139)</f>
        <v/>
      </c>
    </row>
    <row r="141" ht="28" customHeight="1" s="97">
      <c r="A141" s="161" t="n"/>
      <c r="B141" s="120" t="inlineStr">
        <is>
          <t>个人季度合计：</t>
        </is>
      </c>
      <c r="C141" s="156" t="n"/>
      <c r="D141" s="156" t="n"/>
      <c r="E141" s="156" t="n"/>
      <c r="F141" s="156" t="n"/>
      <c r="G141" s="156" t="n"/>
      <c r="H141" s="157" t="n"/>
      <c r="I141" s="164">
        <f>SUM(I140:K140)</f>
        <v/>
      </c>
      <c r="J141" s="156" t="n"/>
      <c r="K141" s="157" t="n"/>
      <c r="L141" s="164">
        <f>SUM(L140:N140)</f>
        <v/>
      </c>
      <c r="M141" s="156" t="n"/>
      <c r="N141" s="157" t="n"/>
      <c r="O141" s="164">
        <f>SUM(O140:Q140)</f>
        <v/>
      </c>
      <c r="P141" s="156" t="n"/>
      <c r="Q141" s="157" t="n"/>
      <c r="R141" s="164">
        <f>SUM(R140:T140)</f>
        <v/>
      </c>
      <c r="S141" s="156" t="n"/>
      <c r="T141" s="157" t="n"/>
    </row>
    <row r="142" ht="28" customHeight="1" s="97">
      <c r="A142" s="161" t="n"/>
      <c r="B142" s="120" t="inlineStr">
        <is>
          <t>个人年度合计：</t>
        </is>
      </c>
      <c r="C142" s="156" t="n"/>
      <c r="D142" s="156" t="n"/>
      <c r="E142" s="156" t="n"/>
      <c r="F142" s="156" t="n"/>
      <c r="G142" s="156" t="n"/>
      <c r="H142" s="157" t="n"/>
      <c r="I142" s="164">
        <f>SUM(I140:T140)</f>
        <v/>
      </c>
      <c r="J142" s="156" t="n"/>
      <c r="K142" s="156" t="n"/>
      <c r="L142" s="156" t="n"/>
      <c r="M142" s="156" t="n"/>
      <c r="N142" s="156" t="n"/>
      <c r="O142" s="156" t="n"/>
      <c r="P142" s="156" t="n"/>
      <c r="Q142" s="156" t="n"/>
      <c r="R142" s="156" t="n"/>
      <c r="S142" s="156" t="n"/>
      <c r="T142" s="157" t="n"/>
    </row>
    <row r="143" ht="18" customHeight="1" s="97">
      <c r="A143" s="161" t="n"/>
      <c r="B143" s="124" t="n"/>
      <c r="C143" s="156" t="n"/>
      <c r="D143" s="156" t="n"/>
      <c r="E143" s="156" t="n"/>
      <c r="F143" s="156" t="n"/>
      <c r="G143" s="156" t="n"/>
      <c r="H143" s="156" t="n"/>
      <c r="I143" s="156" t="n"/>
      <c r="J143" s="156" t="n"/>
      <c r="K143" s="156" t="n"/>
      <c r="L143" s="156" t="n"/>
      <c r="M143" s="156" t="n"/>
      <c r="N143" s="156" t="n"/>
      <c r="O143" s="156" t="n"/>
      <c r="P143" s="156" t="n"/>
      <c r="Q143" s="156" t="n"/>
      <c r="R143" s="156" t="n"/>
      <c r="S143" s="156" t="n"/>
      <c r="T143" s="157" t="n"/>
    </row>
    <row r="144" ht="28" customHeight="1" s="97">
      <c r="A144" s="161" t="n"/>
      <c r="B144" s="145" t="inlineStr">
        <is>
          <t>小组月度合计：</t>
        </is>
      </c>
      <c r="C144" s="156" t="n"/>
      <c r="D144" s="156" t="n"/>
      <c r="E144" s="156" t="n"/>
      <c r="F144" s="156" t="n"/>
      <c r="G144" s="156" t="n"/>
      <c r="H144" s="157" t="n"/>
      <c r="I144" s="166">
        <f>SUM(I117,I140)</f>
        <v/>
      </c>
      <c r="J144" s="166">
        <f>SUM(J117,J140)</f>
        <v/>
      </c>
      <c r="K144" s="166">
        <f>SUM(K117,K140)</f>
        <v/>
      </c>
      <c r="L144" s="166">
        <f>SUM(L117,L140)</f>
        <v/>
      </c>
      <c r="M144" s="166">
        <f>SUM(M117,M140)</f>
        <v/>
      </c>
      <c r="N144" s="166">
        <f>SUM(N117,N140)</f>
        <v/>
      </c>
      <c r="O144" s="166">
        <f>SUM(O117,O140)</f>
        <v/>
      </c>
      <c r="P144" s="166">
        <f>SUM(P117,P140)</f>
        <v/>
      </c>
      <c r="Q144" s="166">
        <f>SUM(Q117,Q140)</f>
        <v/>
      </c>
      <c r="R144" s="166">
        <f>SUM(R117,R140)</f>
        <v/>
      </c>
      <c r="S144" s="166">
        <f>SUM(S117,S140)</f>
        <v/>
      </c>
      <c r="T144" s="166">
        <f>SUM(T117,T140)</f>
        <v/>
      </c>
    </row>
    <row r="145" ht="28" customHeight="1" s="97">
      <c r="A145" s="161" t="n"/>
      <c r="B145" s="145" t="inlineStr">
        <is>
          <t>小组季度合计：</t>
        </is>
      </c>
      <c r="C145" s="156" t="n"/>
      <c r="D145" s="156" t="n"/>
      <c r="E145" s="156" t="n"/>
      <c r="F145" s="156" t="n"/>
      <c r="G145" s="156" t="n"/>
      <c r="H145" s="157" t="n"/>
      <c r="I145" s="166">
        <f>SUM(I144:K144)</f>
        <v/>
      </c>
      <c r="J145" s="156" t="n"/>
      <c r="K145" s="157" t="n"/>
      <c r="L145" s="166">
        <f>SUM(L144:N144)</f>
        <v/>
      </c>
      <c r="M145" s="156" t="n"/>
      <c r="N145" s="157" t="n"/>
      <c r="O145" s="166">
        <f>SUM(O144:Q144)</f>
        <v/>
      </c>
      <c r="P145" s="156" t="n"/>
      <c r="Q145" s="157" t="n"/>
      <c r="R145" s="166">
        <f>SUM(R144:T144)</f>
        <v/>
      </c>
      <c r="S145" s="156" t="n"/>
      <c r="T145" s="157" t="n"/>
    </row>
    <row r="146" ht="28" customHeight="1" s="97">
      <c r="A146" s="158" t="n"/>
      <c r="B146" s="145" t="inlineStr">
        <is>
          <t>小组年度合计：</t>
        </is>
      </c>
      <c r="C146" s="156" t="n"/>
      <c r="D146" s="156" t="n"/>
      <c r="E146" s="156" t="n"/>
      <c r="F146" s="156" t="n"/>
      <c r="G146" s="156" t="n"/>
      <c r="H146" s="157" t="n"/>
      <c r="I146" s="166">
        <f>SUM(I144:T144)</f>
        <v/>
      </c>
      <c r="J146" s="156" t="n"/>
      <c r="K146" s="156" t="n"/>
      <c r="L146" s="156" t="n"/>
      <c r="M146" s="156" t="n"/>
      <c r="N146" s="156" t="n"/>
      <c r="O146" s="156" t="n"/>
      <c r="P146" s="156" t="n"/>
      <c r="Q146" s="156" t="n"/>
      <c r="R146" s="156" t="n"/>
      <c r="S146" s="156" t="n"/>
      <c r="T146" s="157" t="n"/>
    </row>
    <row r="147" ht="18" customHeight="1" s="97">
      <c r="A147" s="147" t="n"/>
      <c r="B147" s="156" t="n"/>
      <c r="C147" s="156" t="n"/>
      <c r="D147" s="156" t="n"/>
      <c r="E147" s="156" t="n"/>
      <c r="F147" s="156" t="n"/>
      <c r="G147" s="156" t="n"/>
      <c r="H147" s="156" t="n"/>
      <c r="I147" s="156" t="n"/>
      <c r="J147" s="156" t="n"/>
      <c r="K147" s="156" t="n"/>
      <c r="L147" s="156" t="n"/>
      <c r="M147" s="156" t="n"/>
      <c r="N147" s="156" t="n"/>
      <c r="O147" s="156" t="n"/>
      <c r="P147" s="156" t="n"/>
      <c r="Q147" s="156" t="n"/>
      <c r="R147" s="156" t="n"/>
      <c r="S147" s="156" t="n"/>
      <c r="T147" s="157" t="n"/>
    </row>
    <row r="148" ht="24" customHeight="1" s="97">
      <c r="A148" s="109" t="inlineStr">
        <is>
          <t>意林组</t>
        </is>
      </c>
      <c r="B148" s="117" t="n">
        <v>1</v>
      </c>
      <c r="C148" s="117" t="inlineStr">
        <is>
          <t>杨意林</t>
        </is>
      </c>
      <c r="D148" s="117" t="inlineStr">
        <is>
          <t>影擎</t>
        </is>
      </c>
      <c r="E148" s="117" t="inlineStr">
        <is>
          <t>影片采购</t>
        </is>
      </c>
      <c r="F148" s="117" t="n"/>
      <c r="G148" s="117" t="n"/>
      <c r="H148" s="168" t="inlineStr">
        <is>
          <t>2月签并回款</t>
        </is>
      </c>
      <c r="I148" s="169" t="n"/>
      <c r="J148" s="169" t="n">
        <v>35000</v>
      </c>
      <c r="K148" s="169" t="n"/>
      <c r="L148" s="169" t="n"/>
      <c r="M148" s="169" t="n"/>
      <c r="N148" s="169" t="n"/>
      <c r="O148" s="169" t="n"/>
      <c r="P148" s="169" t="n"/>
      <c r="Q148" s="169" t="n"/>
      <c r="R148" s="169" t="n"/>
      <c r="S148" s="169" t="n"/>
      <c r="T148" s="169" t="n"/>
    </row>
    <row r="149" ht="24" customHeight="1" s="97">
      <c r="A149" s="161" t="n"/>
      <c r="B149" s="117" t="n">
        <v>2</v>
      </c>
      <c r="C149" s="117" t="inlineStr">
        <is>
          <t>杨意林</t>
        </is>
      </c>
      <c r="D149" s="117" t="inlineStr">
        <is>
          <t>宁夏贺兰县宁夏农旅产业园
严总</t>
        </is>
      </c>
      <c r="E149" s="117" t="inlineStr">
        <is>
          <t>大空间 联营加点</t>
        </is>
      </c>
      <c r="F149" s="117" t="inlineStr">
        <is>
          <t>贺兰县宁夏农旅产业园</t>
        </is>
      </c>
      <c r="G149" s="117" t="n"/>
      <c r="H149" s="168" t="inlineStr">
        <is>
          <t>1月签并回款</t>
        </is>
      </c>
      <c r="I149" s="169" t="n">
        <v>5000</v>
      </c>
      <c r="J149" s="169" t="n"/>
      <c r="K149" s="169" t="n"/>
      <c r="L149" s="169" t="n"/>
      <c r="M149" s="169" t="n"/>
      <c r="N149" s="169" t="n"/>
      <c r="O149" s="169" t="n"/>
      <c r="P149" s="169" t="n"/>
      <c r="Q149" s="169" t="n"/>
      <c r="R149" s="169" t="n"/>
      <c r="S149" s="169" t="n"/>
      <c r="T149" s="169" t="n"/>
    </row>
    <row r="150" ht="24" customHeight="1" s="97">
      <c r="A150" s="161" t="n"/>
      <c r="B150" s="117" t="n">
        <v>3</v>
      </c>
      <c r="C150" s="117" t="inlineStr">
        <is>
          <t>杨意林</t>
        </is>
      </c>
      <c r="D150" s="117" t="inlineStr">
        <is>
          <t>四川金熊猫</t>
        </is>
      </c>
      <c r="E150" s="117" t="inlineStr">
        <is>
          <t>15min16人VR大空间定制+18台vr，用16备2</t>
        </is>
      </c>
      <c r="F150" s="117" t="inlineStr">
        <is>
          <t>四川遂宁高峰山</t>
        </is>
      </c>
      <c r="G150" s="117" t="n"/>
      <c r="H150" s="168" t="inlineStr">
        <is>
          <t>预计12月签，12已签38万，1月签83.2万</t>
        </is>
      </c>
      <c r="I150" s="169" t="n">
        <v>832000</v>
      </c>
      <c r="J150" s="169" t="n"/>
      <c r="K150" s="169" t="n"/>
      <c r="L150" s="169" t="n"/>
      <c r="M150" s="169" t="n"/>
      <c r="N150" s="169" t="n"/>
      <c r="O150" s="169" t="n"/>
      <c r="P150" s="169" t="n"/>
      <c r="Q150" s="169" t="n"/>
      <c r="R150" s="169" t="n"/>
      <c r="S150" s="169" t="n"/>
      <c r="T150" s="169" t="n"/>
    </row>
    <row r="151" ht="24" customHeight="1" s="97">
      <c r="A151" s="161" t="n"/>
      <c r="B151" s="117" t="n">
        <v>4</v>
      </c>
      <c r="C151" s="117" t="inlineStr">
        <is>
          <t>杨意林</t>
        </is>
      </c>
      <c r="D151" s="117" t="inlineStr">
        <is>
          <t>三亚千古情旅游演艺有限公司</t>
        </is>
      </c>
      <c r="E151" s="117" t="inlineStr">
        <is>
          <t>LED模组</t>
        </is>
      </c>
      <c r="F151" s="117" t="n"/>
      <c r="G151" s="117" t="n"/>
      <c r="H151" s="168" t="inlineStr">
        <is>
          <t>1月签并回款</t>
        </is>
      </c>
      <c r="I151" s="169" t="n">
        <v>66670</v>
      </c>
      <c r="J151" s="169" t="n"/>
      <c r="K151" s="169" t="n"/>
      <c r="L151" s="169" t="n"/>
      <c r="M151" s="169" t="n"/>
      <c r="N151" s="169" t="n"/>
      <c r="O151" s="169" t="n"/>
      <c r="P151" s="169" t="n"/>
      <c r="Q151" s="169" t="n"/>
      <c r="R151" s="169" t="n"/>
      <c r="S151" s="169" t="n"/>
      <c r="T151" s="169" t="n"/>
    </row>
    <row r="152" ht="24" customHeight="1" s="97">
      <c r="A152" s="161" t="n"/>
      <c r="B152" s="117" t="n">
        <v>5</v>
      </c>
      <c r="C152" s="117" t="inlineStr">
        <is>
          <t>杨意林</t>
        </is>
      </c>
      <c r="D152" s="117" t="inlineStr">
        <is>
          <t>宋城青岛</t>
        </is>
      </c>
      <c r="E152" s="117" t="inlineStr">
        <is>
          <t>元宇宙剧场</t>
        </is>
      </c>
      <c r="F152" s="117" t="inlineStr">
        <is>
          <t>青岛</t>
        </is>
      </c>
      <c r="G152" s="117" t="n"/>
      <c r="H152" s="168" t="inlineStr">
        <is>
          <t>元宇宙剧场12月已签2360000，1月有回款</t>
        </is>
      </c>
      <c r="I152" s="169" t="n">
        <v>2416629</v>
      </c>
      <c r="J152" s="169" t="n"/>
      <c r="K152" s="169" t="n"/>
      <c r="L152" s="169" t="n"/>
      <c r="M152" s="169" t="n"/>
      <c r="N152" s="169" t="n"/>
      <c r="O152" s="169" t="n"/>
      <c r="P152" s="169" t="n"/>
      <c r="Q152" s="169" t="n"/>
      <c r="R152" s="169" t="n"/>
      <c r="S152" s="169" t="n"/>
      <c r="T152" s="176" t="n"/>
    </row>
    <row r="153" ht="24" customHeight="1" s="97">
      <c r="A153" s="161" t="n"/>
      <c r="B153" s="117" t="n">
        <v>6</v>
      </c>
      <c r="C153" s="117" t="inlineStr">
        <is>
          <t>杨意林</t>
        </is>
      </c>
      <c r="D153" s="117" t="inlineStr">
        <is>
          <t>宋城青岛</t>
        </is>
      </c>
      <c r="E153" s="117" t="inlineStr">
        <is>
          <t>海洋传奇</t>
        </is>
      </c>
      <c r="F153" s="117" t="inlineStr">
        <is>
          <t>青岛</t>
        </is>
      </c>
      <c r="G153" s="117" t="n"/>
      <c r="H153" s="168" t="inlineStr">
        <is>
          <t>海洋传奇2416629，1月有回款</t>
        </is>
      </c>
      <c r="I153" s="169" t="n">
        <v>2360000</v>
      </c>
      <c r="J153" s="169" t="n"/>
      <c r="K153" s="169" t="n"/>
      <c r="L153" s="169" t="n"/>
      <c r="M153" s="169" t="n"/>
      <c r="N153" s="169" t="n"/>
      <c r="O153" s="169" t="n"/>
      <c r="P153" s="169" t="n"/>
      <c r="Q153" s="169" t="n"/>
      <c r="R153" s="169" t="n"/>
      <c r="S153" s="169" t="n"/>
      <c r="T153" s="176" t="n"/>
    </row>
    <row r="154" ht="24" customHeight="1" s="97">
      <c r="A154" s="161" t="n"/>
      <c r="B154" s="117" t="n">
        <v>7</v>
      </c>
      <c r="C154" s="117" t="inlineStr">
        <is>
          <t>杨意林</t>
        </is>
      </c>
      <c r="D154" s="117" t="inlineStr">
        <is>
          <t>广州市影擎电子科技有限公司</t>
        </is>
      </c>
      <c r="E154" s="117" t="inlineStr">
        <is>
          <t>影片采购</t>
        </is>
      </c>
      <c r="F154" s="117" t="n"/>
      <c r="G154" s="117" t="n"/>
      <c r="H154" s="168" t="inlineStr">
        <is>
          <t>1月签并回款</t>
        </is>
      </c>
      <c r="I154" s="169" t="n">
        <v>70000</v>
      </c>
      <c r="J154" s="169" t="n"/>
      <c r="K154" s="169" t="n"/>
      <c r="L154" s="169" t="n"/>
      <c r="M154" s="169" t="n"/>
      <c r="N154" s="169" t="n"/>
      <c r="O154" s="169" t="n"/>
      <c r="P154" s="169" t="n"/>
      <c r="Q154" s="169" t="n"/>
      <c r="R154" s="169" t="n"/>
      <c r="S154" s="169" t="n"/>
      <c r="T154" s="176" t="n"/>
    </row>
    <row r="155" ht="24" customHeight="1" s="97">
      <c r="A155" s="161" t="n"/>
      <c r="B155" s="117" t="n">
        <v>8</v>
      </c>
      <c r="C155" s="117" t="inlineStr">
        <is>
          <t>杨意林</t>
        </is>
      </c>
      <c r="D155" s="117" t="inlineStr">
        <is>
          <t>宋城张家界</t>
        </is>
      </c>
      <c r="E155" s="117" t="inlineStr">
        <is>
          <t>新款大弧形80人元宇宙剧场</t>
        </is>
      </c>
      <c r="F155" s="117" t="inlineStr">
        <is>
          <t>张家界千古情</t>
        </is>
      </c>
      <c r="G155" s="117" t="n"/>
      <c r="H155" s="168" t="inlineStr">
        <is>
          <t>12月签，1月回款（2148000）</t>
        </is>
      </c>
      <c r="I155" s="169" t="n">
        <v>2148000</v>
      </c>
      <c r="J155" s="160" t="n"/>
      <c r="K155" s="176" t="n"/>
      <c r="L155" s="160" t="n"/>
      <c r="M155" s="160" t="n"/>
      <c r="N155" s="160" t="n"/>
      <c r="O155" s="160" t="n"/>
      <c r="P155" s="160" t="n"/>
      <c r="Q155" s="160" t="n"/>
      <c r="R155" s="160" t="n"/>
      <c r="S155" s="160" t="n"/>
      <c r="T155" s="176" t="n"/>
    </row>
    <row r="156" ht="24" customHeight="1" s="97">
      <c r="A156" s="161" t="n"/>
      <c r="B156" s="117" t="n">
        <v>9</v>
      </c>
      <c r="C156" s="117" t="inlineStr">
        <is>
          <t>杨意林</t>
        </is>
      </c>
      <c r="D156" s="117" t="inlineStr">
        <is>
          <t>合肥蜀山政府</t>
        </is>
      </c>
      <c r="E156" s="117" t="inlineStr">
        <is>
          <t>vr大空间定制</t>
        </is>
      </c>
      <c r="F156" s="117" t="inlineStr">
        <is>
          <t>合肥</t>
        </is>
      </c>
      <c r="G156" s="117" t="n"/>
      <c r="H156" s="168" t="inlineStr">
        <is>
          <t>12月签，1月回款</t>
        </is>
      </c>
      <c r="I156" s="169" t="n">
        <v>1405367.9</v>
      </c>
      <c r="J156" s="160" t="n"/>
      <c r="K156" s="169" t="n"/>
      <c r="L156" s="169" t="n"/>
      <c r="M156" s="169" t="n"/>
      <c r="N156" s="169" t="n"/>
      <c r="O156" s="169" t="n"/>
      <c r="P156" s="169" t="n"/>
      <c r="Q156" s="169" t="n"/>
      <c r="R156" s="169" t="n"/>
      <c r="S156" s="169" t="n"/>
      <c r="T156" s="176" t="n"/>
    </row>
    <row r="157" ht="24" customHeight="1" s="97">
      <c r="A157" s="161" t="n"/>
      <c r="B157" s="117" t="n">
        <v>10</v>
      </c>
      <c r="C157" s="117" t="inlineStr">
        <is>
          <t>杨意林</t>
        </is>
      </c>
      <c r="D157" s="117" t="inlineStr">
        <is>
          <t>三峡千古情</t>
        </is>
      </c>
      <c r="E157" s="117" t="inlineStr">
        <is>
          <t>备品模组</t>
        </is>
      </c>
      <c r="F157" s="117" t="inlineStr">
        <is>
          <t>三峡</t>
        </is>
      </c>
      <c r="G157" s="117" t="n"/>
      <c r="H157" s="168" t="inlineStr">
        <is>
          <t>1月签，2月回款</t>
        </is>
      </c>
      <c r="I157" s="176" t="n"/>
      <c r="J157" s="169" t="n">
        <v>10667.2</v>
      </c>
      <c r="K157" s="169" t="n"/>
      <c r="L157" s="169" t="n"/>
      <c r="M157" s="169" t="n"/>
      <c r="N157" s="169" t="n"/>
      <c r="O157" s="169" t="n"/>
      <c r="P157" s="169" t="n"/>
      <c r="Q157" s="169" t="n"/>
      <c r="R157" s="169" t="n"/>
      <c r="S157" s="169" t="n"/>
      <c r="T157" s="176" t="n"/>
    </row>
    <row r="158" ht="24" customHeight="1" s="97">
      <c r="A158" s="161" t="n"/>
      <c r="B158" s="117" t="n">
        <v>11</v>
      </c>
      <c r="C158" s="117" t="inlineStr">
        <is>
          <t>杨意林</t>
        </is>
      </c>
      <c r="D158" s="117" t="inlineStr">
        <is>
          <t>宁夏贺兰县宁夏农旅产业园
严总</t>
        </is>
      </c>
      <c r="E158" s="117" t="inlineStr">
        <is>
          <t>大空间 联营加点</t>
        </is>
      </c>
      <c r="F158" s="117" t="inlineStr">
        <is>
          <t>贺兰县宁夏农旅产业园</t>
        </is>
      </c>
      <c r="G158" s="117" t="n"/>
      <c r="H158" s="168" t="inlineStr">
        <is>
          <t>2月签并回款</t>
        </is>
      </c>
      <c r="I158" s="169" t="n"/>
      <c r="J158" s="169" t="n">
        <v>10000</v>
      </c>
      <c r="K158" s="169" t="n"/>
      <c r="L158" s="169" t="n"/>
      <c r="M158" s="169" t="n"/>
      <c r="N158" s="169" t="n"/>
      <c r="O158" s="169" t="n"/>
      <c r="P158" s="169" t="n"/>
      <c r="Q158" s="169" t="n"/>
      <c r="R158" s="169" t="n"/>
      <c r="S158" s="169" t="n"/>
      <c r="T158" s="169" t="n"/>
    </row>
    <row r="159" ht="24" customHeight="1" s="97">
      <c r="A159" s="161" t="n"/>
      <c r="B159" s="117" t="n">
        <v>12</v>
      </c>
      <c r="C159" s="117" t="inlineStr">
        <is>
          <t>杨意林</t>
        </is>
      </c>
      <c r="D159" s="117" t="inlineStr">
        <is>
          <t>影擎</t>
        </is>
      </c>
      <c r="E159" s="117" t="inlineStr">
        <is>
          <t>影片采购</t>
        </is>
      </c>
      <c r="F159" s="117" t="n"/>
      <c r="G159" s="117" t="n"/>
      <c r="H159" s="168" t="inlineStr">
        <is>
          <t>4月签并回款</t>
        </is>
      </c>
      <c r="I159" s="169" t="n"/>
      <c r="J159" s="169" t="n"/>
      <c r="K159" s="169" t="n"/>
      <c r="L159" s="169" t="n">
        <v>35000</v>
      </c>
      <c r="M159" s="169" t="n"/>
      <c r="N159" s="169" t="n"/>
      <c r="O159" s="169" t="n"/>
      <c r="P159" s="169" t="n"/>
      <c r="Q159" s="169" t="n"/>
      <c r="R159" s="169" t="n"/>
      <c r="S159" s="169" t="n"/>
      <c r="T159" s="169" t="n"/>
    </row>
    <row r="160" ht="24" customHeight="1" s="97">
      <c r="A160" s="161" t="n"/>
      <c r="B160" s="117" t="n">
        <v>13</v>
      </c>
      <c r="C160" s="117" t="inlineStr">
        <is>
          <t>杨意林</t>
        </is>
      </c>
      <c r="D160" s="117" t="inlineStr">
        <is>
          <t>影擎</t>
        </is>
      </c>
      <c r="E160" s="117" t="inlineStr">
        <is>
          <t>影片采购</t>
        </is>
      </c>
      <c r="F160" s="117" t="n"/>
      <c r="G160" s="117" t="n"/>
      <c r="H160" s="168" t="inlineStr">
        <is>
          <t>5月签并回款</t>
        </is>
      </c>
      <c r="I160" s="169" t="n"/>
      <c r="J160" s="169" t="n"/>
      <c r="K160" s="169" t="n"/>
      <c r="L160" s="169" t="n"/>
      <c r="M160" s="169" t="n">
        <v>35000</v>
      </c>
      <c r="N160" s="169" t="n"/>
      <c r="O160" s="169" t="n"/>
      <c r="P160" s="169" t="n"/>
      <c r="Q160" s="169" t="n"/>
      <c r="R160" s="169" t="n"/>
      <c r="S160" s="169" t="n"/>
      <c r="T160" s="169" t="n"/>
    </row>
    <row r="161" ht="24" customHeight="1" s="97">
      <c r="A161" s="161" t="n"/>
      <c r="B161" s="117" t="n">
        <v>14</v>
      </c>
      <c r="C161" s="117" t="inlineStr">
        <is>
          <t>杨意林</t>
        </is>
      </c>
      <c r="D161" s="117" t="inlineStr">
        <is>
          <t>红途智旅</t>
        </is>
      </c>
      <c r="E161" s="117" t="inlineStr">
        <is>
          <t>硬件设备采购</t>
        </is>
      </c>
      <c r="F161" s="117" t="inlineStr">
        <is>
          <t>韶关</t>
        </is>
      </c>
      <c r="G161" s="117" t="n"/>
      <c r="H161" s="168" t="inlineStr">
        <is>
          <t>6月签并回款</t>
        </is>
      </c>
      <c r="I161" s="169" t="n"/>
      <c r="J161" s="169" t="n"/>
      <c r="K161" s="169" t="n"/>
      <c r="L161" s="169" t="n"/>
      <c r="M161" s="169" t="n"/>
      <c r="N161" s="169" t="n">
        <v>84607.7</v>
      </c>
      <c r="O161" s="169" t="n"/>
      <c r="P161" s="160" t="n"/>
      <c r="Q161" s="160" t="n"/>
      <c r="R161" s="160" t="n"/>
      <c r="S161" s="160" t="n"/>
      <c r="T161" s="160" t="n"/>
    </row>
    <row r="162" ht="24" customHeight="1" s="97">
      <c r="A162" s="161" t="n"/>
      <c r="B162" s="117" t="n">
        <v>15</v>
      </c>
      <c r="C162" s="117" t="inlineStr">
        <is>
          <t>杨意林</t>
        </is>
      </c>
      <c r="D162" s="117" t="inlineStr">
        <is>
          <t>红途智旅</t>
        </is>
      </c>
      <c r="E162" s="117" t="inlineStr">
        <is>
          <t>VR大空间租赁</t>
        </is>
      </c>
      <c r="F162" s="117" t="inlineStr">
        <is>
          <t>韶关</t>
        </is>
      </c>
      <c r="G162" s="117" t="n"/>
      <c r="H162" s="168" t="inlineStr">
        <is>
          <t>6月签并回款</t>
        </is>
      </c>
      <c r="I162" s="169" t="n"/>
      <c r="J162" s="169" t="n"/>
      <c r="K162" s="169" t="n"/>
      <c r="L162" s="169" t="n"/>
      <c r="M162" s="169" t="n"/>
      <c r="N162" s="169" t="n">
        <v>20000</v>
      </c>
      <c r="O162" s="169" t="n"/>
      <c r="P162" s="160" t="n"/>
      <c r="Q162" s="160" t="n"/>
      <c r="R162" s="160" t="n"/>
      <c r="S162" s="160" t="n"/>
      <c r="T162" s="160" t="n"/>
    </row>
    <row r="163" ht="24" customHeight="1" s="97">
      <c r="A163" s="161" t="n"/>
      <c r="B163" s="117" t="n">
        <v>16</v>
      </c>
      <c r="C163" s="117" t="inlineStr">
        <is>
          <t>杨意林</t>
        </is>
      </c>
      <c r="D163" s="117" t="inlineStr">
        <is>
          <t>三亚千古情旅游演艺有限公司</t>
        </is>
      </c>
      <c r="E163" s="117" t="inlineStr">
        <is>
          <t>三亚服务器维修费</t>
        </is>
      </c>
      <c r="F163" s="117" t="inlineStr">
        <is>
          <t>三亚</t>
        </is>
      </c>
      <c r="G163" s="117" t="n"/>
      <c r="H163" s="168" t="inlineStr">
        <is>
          <t>6月签并回款</t>
        </is>
      </c>
      <c r="I163" s="169" t="n"/>
      <c r="J163" s="169" t="n"/>
      <c r="K163" s="169" t="n"/>
      <c r="L163" s="169" t="n"/>
      <c r="M163" s="169" t="n"/>
      <c r="N163" s="169" t="n">
        <v>2600</v>
      </c>
      <c r="O163" s="169" t="n"/>
      <c r="P163" s="160" t="n"/>
      <c r="Q163" s="160" t="n"/>
      <c r="R163" s="160" t="n"/>
      <c r="S163" s="160" t="n"/>
      <c r="T163" s="160" t="n"/>
    </row>
    <row r="164" ht="24" customHeight="1" s="97">
      <c r="A164" s="161" t="n"/>
      <c r="B164" s="117" t="n">
        <v>17</v>
      </c>
      <c r="C164" s="117" t="inlineStr">
        <is>
          <t>杨意林</t>
        </is>
      </c>
      <c r="D164" s="117" t="inlineStr">
        <is>
          <t>个体工商户</t>
        </is>
      </c>
      <c r="E164" s="117" t="inlineStr">
        <is>
          <t>XR无限空间10人</t>
        </is>
      </c>
      <c r="F164" s="117" t="inlineStr">
        <is>
          <t>青岛吾悦广场</t>
        </is>
      </c>
      <c r="G164" s="117" t="n"/>
      <c r="H164" s="168" t="inlineStr">
        <is>
          <t>已签20万，客户营业执照刚下来，催款中</t>
        </is>
      </c>
      <c r="I164" s="169" t="n"/>
      <c r="J164" s="169" t="n"/>
      <c r="K164" s="169" t="n"/>
      <c r="L164" s="169" t="n"/>
      <c r="M164" s="169" t="n"/>
      <c r="N164" s="169" t="n"/>
      <c r="O164" s="169" t="n">
        <v>20000</v>
      </c>
      <c r="P164" s="160" t="n"/>
      <c r="Q164" s="160" t="n"/>
      <c r="R164" s="160" t="n"/>
      <c r="S164" s="160" t="n"/>
      <c r="T164" s="160" t="n"/>
    </row>
    <row r="165" ht="24" customHeight="1" s="97">
      <c r="A165" s="161" t="n"/>
      <c r="B165" s="117" t="n">
        <v>18</v>
      </c>
      <c r="C165" s="117" t="inlineStr">
        <is>
          <t>杨意林</t>
        </is>
      </c>
      <c r="D165" s="117" t="inlineStr">
        <is>
          <t>影擎</t>
        </is>
      </c>
      <c r="E165" s="117" t="inlineStr">
        <is>
          <t>飞行影院样机补款</t>
        </is>
      </c>
      <c r="F165" s="117" t="n"/>
      <c r="G165" s="117" t="n"/>
      <c r="H165" s="168" t="inlineStr">
        <is>
          <t>7月签并回款</t>
        </is>
      </c>
      <c r="I165" s="169" t="n"/>
      <c r="J165" s="169" t="n"/>
      <c r="K165" s="169" t="n"/>
      <c r="L165" s="169" t="n"/>
      <c r="M165" s="169" t="n"/>
      <c r="N165" s="169" t="n"/>
      <c r="O165" s="169" t="n">
        <v>10000</v>
      </c>
      <c r="P165" s="176" t="n"/>
      <c r="Q165" s="176" t="n"/>
      <c r="R165" s="176" t="n"/>
      <c r="S165" s="169" t="n"/>
      <c r="T165" s="169" t="n"/>
    </row>
    <row r="166" ht="24" customHeight="1" s="97">
      <c r="A166" s="161" t="n"/>
      <c r="B166" s="124" t="n">
        <v>19</v>
      </c>
      <c r="C166" s="124" t="inlineStr">
        <is>
          <t>杨意林</t>
        </is>
      </c>
      <c r="D166" s="124" t="inlineStr">
        <is>
          <t>宋城</t>
        </is>
      </c>
      <c r="E166" s="124" t="inlineStr">
        <is>
          <t>泰国潜艇探险、元宇宙剧场</t>
        </is>
      </c>
      <c r="F166" s="124" t="n"/>
      <c r="G166" s="124" t="n"/>
      <c r="H166" s="159" t="inlineStr">
        <is>
          <t>7月底签，256.61w+272.8273w</t>
        </is>
      </c>
      <c r="I166" s="160" t="n"/>
      <c r="J166" s="160" t="n"/>
      <c r="K166" s="160" t="n"/>
      <c r="L166" s="160" t="n"/>
      <c r="M166" s="160" t="n"/>
      <c r="N166" s="160" t="n"/>
      <c r="O166" s="160" t="n"/>
      <c r="P166" s="176" t="n"/>
      <c r="Q166" s="176" t="n"/>
      <c r="R166" s="176" t="n"/>
      <c r="S166" s="169" t="n"/>
      <c r="T166" s="169" t="n"/>
    </row>
    <row r="167" ht="24" customHeight="1" s="97">
      <c r="A167" s="161" t="n"/>
      <c r="B167" s="124" t="n">
        <v>20</v>
      </c>
      <c r="C167" s="124" t="inlineStr">
        <is>
          <t>杨意林</t>
        </is>
      </c>
      <c r="D167" s="124" t="inlineStr">
        <is>
          <t>川文数-泸县石刻博物馆</t>
        </is>
      </c>
      <c r="E167" s="124" t="inlineStr">
        <is>
          <t>VR大空间定制</t>
        </is>
      </c>
      <c r="F167" s="124" t="n"/>
      <c r="G167" s="117" t="n"/>
      <c r="H167" s="159" t="inlineStr">
        <is>
          <t>110万，标的已给，等挂网</t>
        </is>
      </c>
      <c r="I167" s="160" t="n"/>
      <c r="J167" s="160" t="n"/>
      <c r="K167" s="160" t="n"/>
      <c r="L167" s="160" t="n"/>
      <c r="M167" s="160" t="n"/>
      <c r="N167" s="160" t="n"/>
      <c r="O167" s="160" t="n"/>
      <c r="P167" s="176" t="n"/>
      <c r="Q167" s="176" t="n"/>
      <c r="R167" s="176" t="n"/>
      <c r="S167" s="169" t="n"/>
      <c r="T167" s="169" t="n"/>
    </row>
    <row r="168" ht="24" customHeight="1" s="97">
      <c r="A168" s="161" t="n"/>
      <c r="B168" s="124" t="n">
        <v>21</v>
      </c>
      <c r="C168" s="124" t="inlineStr">
        <is>
          <t>杨意林</t>
        </is>
      </c>
      <c r="D168" s="124" t="inlineStr">
        <is>
          <t>犁市当铺</t>
        </is>
      </c>
      <c r="E168" s="124" t="inlineStr">
        <is>
          <t>VR大空间定制化</t>
        </is>
      </c>
      <c r="F168" s="124" t="inlineStr">
        <is>
          <t>韶关</t>
        </is>
      </c>
      <c r="G168" s="117" t="n"/>
      <c r="H168" s="159" t="inlineStr">
        <is>
          <t>已经买了10台vr设备，下周政府资金可能能到账，到账就能启动</t>
        </is>
      </c>
      <c r="I168" s="176" t="n"/>
      <c r="J168" s="176" t="n"/>
      <c r="K168" s="176" t="n"/>
      <c r="L168" s="176" t="n"/>
      <c r="M168" s="176" t="n"/>
      <c r="N168" s="176" t="n"/>
      <c r="O168" s="176" t="n"/>
      <c r="P168" s="176" t="n"/>
      <c r="Q168" s="176" t="n"/>
      <c r="R168" s="176" t="n"/>
      <c r="S168" s="169" t="n"/>
      <c r="T168" s="169" t="n"/>
    </row>
    <row r="169" ht="24" customHeight="1" s="97">
      <c r="A169" s="161" t="n"/>
      <c r="B169" s="124" t="n">
        <v>22</v>
      </c>
      <c r="C169" s="124" t="inlineStr">
        <is>
          <t>杨意林</t>
        </is>
      </c>
      <c r="D169" s="124" t="inlineStr">
        <is>
          <t>大连博涛</t>
        </is>
      </c>
      <c r="E169" s="124" t="inlineStr">
        <is>
          <t>vr大空间定制</t>
        </is>
      </c>
      <c r="F169" s="124" t="inlineStr">
        <is>
          <t>郴州苏仙岭</t>
        </is>
      </c>
      <c r="G169" s="117" t="n"/>
      <c r="H169" s="159" t="inlineStr">
        <is>
          <t>等大项目招投标</t>
        </is>
      </c>
      <c r="I169" s="176" t="n"/>
      <c r="J169" s="176" t="n"/>
      <c r="K169" s="176" t="n"/>
      <c r="L169" s="176" t="n"/>
      <c r="M169" s="176" t="n"/>
      <c r="N169" s="176" t="n"/>
      <c r="O169" s="176" t="n"/>
      <c r="P169" s="176" t="n"/>
      <c r="Q169" s="176" t="n"/>
      <c r="R169" s="176" t="n"/>
      <c r="S169" s="169" t="n"/>
      <c r="T169" s="169" t="n"/>
    </row>
    <row r="170" ht="24" customHeight="1" s="97">
      <c r="A170" s="161" t="n"/>
      <c r="B170" s="124" t="n">
        <v>23</v>
      </c>
      <c r="C170" s="124" t="inlineStr">
        <is>
          <t>杨意林</t>
        </is>
      </c>
      <c r="D170" s="124" t="inlineStr">
        <is>
          <t>时代文旅-母总</t>
        </is>
      </c>
      <c r="E170" s="124" t="inlineStr">
        <is>
          <t>XR剧场+Mapping</t>
        </is>
      </c>
      <c r="F170" s="124" t="inlineStr">
        <is>
          <t>重庆乐和乐都</t>
        </is>
      </c>
      <c r="G170" s="124" t="n"/>
      <c r="H170" s="159" t="inlineStr">
        <is>
          <t>八月份，2000万</t>
        </is>
      </c>
      <c r="I170" s="160" t="n"/>
      <c r="J170" s="160" t="n"/>
      <c r="K170" s="160" t="n"/>
      <c r="L170" s="160" t="n"/>
      <c r="M170" s="160" t="n"/>
      <c r="N170" s="160" t="n"/>
      <c r="O170" s="160" t="n"/>
      <c r="P170" s="176" t="n"/>
      <c r="Q170" s="176" t="n"/>
      <c r="R170" s="176" t="n"/>
      <c r="S170" s="169" t="n"/>
      <c r="T170" s="169" t="n"/>
    </row>
    <row r="171" ht="24" customHeight="1" s="97">
      <c r="A171" s="161" t="n"/>
      <c r="B171" s="124" t="n">
        <v>24</v>
      </c>
      <c r="C171" s="124" t="inlineStr">
        <is>
          <t>杨意林</t>
        </is>
      </c>
      <c r="D171" s="124" t="inlineStr">
        <is>
          <t>宜昌三峡龙园</t>
        </is>
      </c>
      <c r="E171" s="124" t="n"/>
      <c r="F171" s="124" t="n"/>
      <c r="G171" s="124" t="n"/>
      <c r="H171" s="159" t="inlineStr">
        <is>
          <t>7月要做内容的招采，我们要准备标的，15000方场地设计</t>
        </is>
      </c>
      <c r="I171" s="160" t="n"/>
      <c r="J171" s="160" t="n"/>
      <c r="K171" s="160" t="n"/>
      <c r="L171" s="160" t="n"/>
      <c r="M171" s="160" t="n"/>
      <c r="N171" s="160" t="n"/>
      <c r="O171" s="160" t="n"/>
      <c r="P171" s="176" t="n"/>
      <c r="Q171" s="176" t="n"/>
      <c r="R171" s="176" t="n"/>
      <c r="S171" s="169" t="n"/>
      <c r="T171" s="169" t="n"/>
    </row>
    <row r="172" ht="24" customHeight="1" s="97">
      <c r="A172" s="161" t="n"/>
      <c r="B172" s="124" t="n">
        <v>25</v>
      </c>
      <c r="C172" s="124" t="inlineStr">
        <is>
          <t>杨意林</t>
        </is>
      </c>
      <c r="D172" s="124" t="inlineStr">
        <is>
          <t>上海南天门</t>
        </is>
      </c>
      <c r="E172" s="124" t="n"/>
      <c r="F172" s="124" t="n"/>
      <c r="G172" s="124" t="n"/>
      <c r="H172" s="159" t="inlineStr">
        <is>
          <t>方案成本待核算</t>
        </is>
      </c>
      <c r="I172" s="160" t="n"/>
      <c r="J172" s="160" t="n"/>
      <c r="K172" s="160" t="n"/>
      <c r="L172" s="160" t="n"/>
      <c r="M172" s="160" t="n"/>
      <c r="N172" s="160" t="n"/>
      <c r="O172" s="160" t="n"/>
      <c r="P172" s="176" t="n"/>
      <c r="Q172" s="176" t="n"/>
      <c r="R172" s="176" t="n"/>
      <c r="S172" s="169" t="n"/>
      <c r="T172" s="169" t="n"/>
    </row>
    <row r="173" ht="24" customHeight="1" s="97">
      <c r="A173" s="161" t="n"/>
      <c r="B173" s="124" t="n">
        <v>26</v>
      </c>
      <c r="C173" s="124" t="inlineStr">
        <is>
          <t>杨意林</t>
        </is>
      </c>
      <c r="D173" s="124" t="inlineStr">
        <is>
          <t>袁总</t>
        </is>
      </c>
      <c r="E173" s="124" t="inlineStr">
        <is>
          <t>湘潭高校VR实训项目</t>
        </is>
      </c>
      <c r="F173" s="124" t="n"/>
      <c r="G173" s="124" t="n"/>
      <c r="H173" s="159" t="inlineStr">
        <is>
          <t>预估45万，申报中</t>
        </is>
      </c>
      <c r="I173" s="160" t="n"/>
      <c r="J173" s="160" t="n"/>
      <c r="K173" s="160" t="n"/>
      <c r="L173" s="160" t="n"/>
      <c r="M173" s="160" t="n"/>
      <c r="N173" s="160" t="n"/>
      <c r="O173" s="160" t="n"/>
      <c r="P173" s="176" t="n"/>
      <c r="Q173" s="176" t="n"/>
      <c r="R173" s="176" t="n"/>
      <c r="S173" s="169" t="n"/>
      <c r="T173" s="169" t="n"/>
    </row>
    <row r="174" ht="24" customHeight="1" s="97">
      <c r="A174" s="161" t="n"/>
      <c r="B174" s="124" t="n">
        <v>27</v>
      </c>
      <c r="C174" s="124" t="inlineStr">
        <is>
          <t>杨意林</t>
        </is>
      </c>
      <c r="D174" s="124" t="inlineStr">
        <is>
          <t>众邦</t>
        </is>
      </c>
      <c r="E174" s="124" t="inlineStr">
        <is>
          <t>无限方舟+投影cave空间</t>
        </is>
      </c>
      <c r="F174" s="124" t="inlineStr">
        <is>
          <t>辽宁省科学技术馆</t>
        </is>
      </c>
      <c r="G174" s="124" t="n"/>
      <c r="H174" s="159" t="inlineStr">
        <is>
          <t>方案还没开始评审，</t>
        </is>
      </c>
      <c r="I174" s="160" t="n"/>
      <c r="J174" s="160" t="n"/>
      <c r="K174" s="160" t="n"/>
      <c r="L174" s="160" t="n"/>
      <c r="M174" s="160" t="n"/>
      <c r="N174" s="160" t="n"/>
      <c r="O174" s="160" t="n"/>
      <c r="P174" s="176" t="n"/>
      <c r="Q174" s="176" t="n"/>
      <c r="R174" s="176" t="n"/>
      <c r="S174" s="169" t="n"/>
      <c r="T174" s="169" t="n"/>
    </row>
    <row r="175" ht="28" customHeight="1" s="97">
      <c r="A175" s="161" t="n"/>
      <c r="B175" s="120" t="inlineStr">
        <is>
          <t>个人月度合计：</t>
        </is>
      </c>
      <c r="C175" s="156" t="n"/>
      <c r="D175" s="156" t="n"/>
      <c r="E175" s="156" t="n"/>
      <c r="F175" s="156" t="n"/>
      <c r="G175" s="156" t="n"/>
      <c r="H175" s="157" t="n"/>
      <c r="I175" s="164">
        <f>SUM(I148:I174)</f>
        <v/>
      </c>
      <c r="J175" s="164">
        <f>SUM(J148:J174)</f>
        <v/>
      </c>
      <c r="K175" s="164">
        <f>SUM(K148:K174)</f>
        <v/>
      </c>
      <c r="L175" s="164">
        <f>SUM(L148:L174)</f>
        <v/>
      </c>
      <c r="M175" s="164">
        <f>SUM(M148:M174)</f>
        <v/>
      </c>
      <c r="N175" s="164">
        <f>SUM(N148:N174)</f>
        <v/>
      </c>
      <c r="O175" s="164">
        <f>SUM(O148:O174)</f>
        <v/>
      </c>
      <c r="P175" s="164">
        <f>SUM(P148:P174)</f>
        <v/>
      </c>
      <c r="Q175" s="164">
        <f>SUM(Q148:Q174)</f>
        <v/>
      </c>
      <c r="R175" s="164">
        <f>SUM(R148:R174)</f>
        <v/>
      </c>
      <c r="S175" s="164">
        <f>SUM(S148:S174)</f>
        <v/>
      </c>
      <c r="T175" s="164">
        <f>SUM(T148:T174)</f>
        <v/>
      </c>
    </row>
    <row r="176" ht="28" customHeight="1" s="97">
      <c r="A176" s="161" t="n"/>
      <c r="B176" s="120" t="inlineStr">
        <is>
          <t>个人季度合计：</t>
        </is>
      </c>
      <c r="C176" s="156" t="n"/>
      <c r="D176" s="156" t="n"/>
      <c r="E176" s="156" t="n"/>
      <c r="F176" s="156" t="n"/>
      <c r="G176" s="156" t="n"/>
      <c r="H176" s="157" t="n"/>
      <c r="I176" s="164">
        <f>SUM(I175:K175)</f>
        <v/>
      </c>
      <c r="J176" s="156" t="n"/>
      <c r="K176" s="157" t="n"/>
      <c r="L176" s="164">
        <f>SUM(L175:N175)</f>
        <v/>
      </c>
      <c r="M176" s="156" t="n"/>
      <c r="N176" s="157" t="n"/>
      <c r="O176" s="164">
        <f>SUM(O175:Q175)</f>
        <v/>
      </c>
      <c r="P176" s="156" t="n"/>
      <c r="Q176" s="157" t="n"/>
      <c r="R176" s="164">
        <f>SUM(R175:T175)</f>
        <v/>
      </c>
      <c r="S176" s="156" t="n"/>
      <c r="T176" s="157" t="n"/>
    </row>
    <row r="177" ht="28" customHeight="1" s="97">
      <c r="A177" s="161" t="n"/>
      <c r="B177" s="120" t="inlineStr">
        <is>
          <t>个人年度合计：</t>
        </is>
      </c>
      <c r="C177" s="156" t="n"/>
      <c r="D177" s="156" t="n"/>
      <c r="E177" s="156" t="n"/>
      <c r="F177" s="156" t="n"/>
      <c r="G177" s="156" t="n"/>
      <c r="H177" s="157" t="n"/>
      <c r="I177" s="164">
        <f>SUM(I175:T175)</f>
        <v/>
      </c>
      <c r="J177" s="156" t="n"/>
      <c r="K177" s="156" t="n"/>
      <c r="L177" s="156" t="n"/>
      <c r="M177" s="156" t="n"/>
      <c r="N177" s="156" t="n"/>
      <c r="O177" s="156" t="n"/>
      <c r="P177" s="156" t="n"/>
      <c r="Q177" s="156" t="n"/>
      <c r="R177" s="156" t="n"/>
      <c r="S177" s="156" t="n"/>
      <c r="T177" s="157" t="n"/>
    </row>
    <row r="178" ht="18" customHeight="1" s="97">
      <c r="A178" s="161" t="n"/>
      <c r="B178" s="124" t="n"/>
      <c r="C178" s="156" t="n"/>
      <c r="D178" s="156" t="n"/>
      <c r="E178" s="156" t="n"/>
      <c r="F178" s="156" t="n"/>
      <c r="G178" s="156" t="n"/>
      <c r="H178" s="156" t="n"/>
      <c r="I178" s="156" t="n"/>
      <c r="J178" s="156" t="n"/>
      <c r="K178" s="156" t="n"/>
      <c r="L178" s="156" t="n"/>
      <c r="M178" s="156" t="n"/>
      <c r="N178" s="156" t="n"/>
      <c r="O178" s="156" t="n"/>
      <c r="P178" s="156" t="n"/>
      <c r="Q178" s="156" t="n"/>
      <c r="R178" s="156" t="n"/>
      <c r="S178" s="156" t="n"/>
      <c r="T178" s="157" t="n"/>
    </row>
    <row r="179" ht="28" customHeight="1" s="97">
      <c r="A179" s="161" t="n"/>
      <c r="B179" s="145" t="inlineStr">
        <is>
          <t>小组月度合计：</t>
        </is>
      </c>
      <c r="C179" s="156" t="n"/>
      <c r="D179" s="156" t="n"/>
      <c r="E179" s="156" t="n"/>
      <c r="F179" s="156" t="n"/>
      <c r="G179" s="156" t="n"/>
      <c r="H179" s="157" t="n"/>
      <c r="I179" s="166">
        <f>SUM(I175)</f>
        <v/>
      </c>
      <c r="J179" s="166">
        <f>SUM(J175)</f>
        <v/>
      </c>
      <c r="K179" s="166">
        <f>SUM(K175)</f>
        <v/>
      </c>
      <c r="L179" s="166">
        <f>SUM(L175)</f>
        <v/>
      </c>
      <c r="M179" s="166">
        <f>SUM(M175)</f>
        <v/>
      </c>
      <c r="N179" s="166">
        <f>SUM(N175)</f>
        <v/>
      </c>
      <c r="O179" s="166">
        <f>SUM(O175)</f>
        <v/>
      </c>
      <c r="P179" s="166">
        <f>SUM(P175)</f>
        <v/>
      </c>
      <c r="Q179" s="166">
        <f>SUM(Q175)</f>
        <v/>
      </c>
      <c r="R179" s="166">
        <f>SUM(R175)</f>
        <v/>
      </c>
      <c r="S179" s="166">
        <f>SUM(S175)</f>
        <v/>
      </c>
      <c r="T179" s="166">
        <f>SUM(T175)</f>
        <v/>
      </c>
    </row>
    <row r="180" ht="28" customHeight="1" s="97">
      <c r="A180" s="161" t="n"/>
      <c r="B180" s="145" t="inlineStr">
        <is>
          <t>小组季度合计：</t>
        </is>
      </c>
      <c r="C180" s="156" t="n"/>
      <c r="D180" s="156" t="n"/>
      <c r="E180" s="156" t="n"/>
      <c r="F180" s="156" t="n"/>
      <c r="G180" s="156" t="n"/>
      <c r="H180" s="157" t="n"/>
      <c r="I180" s="166">
        <f>SUM(I179:K179)</f>
        <v/>
      </c>
      <c r="J180" s="156" t="n"/>
      <c r="K180" s="157" t="n"/>
      <c r="L180" s="166">
        <f>SUM(L179:N179)</f>
        <v/>
      </c>
      <c r="M180" s="156" t="n"/>
      <c r="N180" s="157" t="n"/>
      <c r="O180" s="166">
        <f>SUM(O179:Q179)</f>
        <v/>
      </c>
      <c r="P180" s="156" t="n"/>
      <c r="Q180" s="157" t="n"/>
      <c r="R180" s="166">
        <f>SUM(R179:T179)</f>
        <v/>
      </c>
      <c r="S180" s="156" t="n"/>
      <c r="T180" s="157" t="n"/>
    </row>
    <row r="181" ht="28" customHeight="1" s="97">
      <c r="A181" s="158" t="n"/>
      <c r="B181" s="145" t="inlineStr">
        <is>
          <t>小组年度合计：</t>
        </is>
      </c>
      <c r="C181" s="156" t="n"/>
      <c r="D181" s="156" t="n"/>
      <c r="E181" s="156" t="n"/>
      <c r="F181" s="156" t="n"/>
      <c r="G181" s="156" t="n"/>
      <c r="H181" s="157" t="n"/>
      <c r="I181" s="166">
        <f>SUM(I179:T179)</f>
        <v/>
      </c>
      <c r="J181" s="156" t="n"/>
      <c r="K181" s="156" t="n"/>
      <c r="L181" s="156" t="n"/>
      <c r="M181" s="156" t="n"/>
      <c r="N181" s="156" t="n"/>
      <c r="O181" s="156" t="n"/>
      <c r="P181" s="156" t="n"/>
      <c r="Q181" s="156" t="n"/>
      <c r="R181" s="156" t="n"/>
      <c r="S181" s="156" t="n"/>
      <c r="T181" s="157" t="n"/>
    </row>
    <row r="182" ht="18" customHeight="1" s="97">
      <c r="A182" s="147" t="n"/>
      <c r="B182" s="156" t="n"/>
      <c r="C182" s="156" t="n"/>
      <c r="D182" s="156" t="n"/>
      <c r="E182" s="156" t="n"/>
      <c r="F182" s="156" t="n"/>
      <c r="G182" s="156" t="n"/>
      <c r="H182" s="156" t="n"/>
      <c r="I182" s="156" t="n"/>
      <c r="J182" s="156" t="n"/>
      <c r="K182" s="156" t="n"/>
      <c r="L182" s="156" t="n"/>
      <c r="M182" s="156" t="n"/>
      <c r="N182" s="156" t="n"/>
      <c r="O182" s="156" t="n"/>
      <c r="P182" s="156" t="n"/>
      <c r="Q182" s="156" t="n"/>
      <c r="R182" s="156" t="n"/>
      <c r="S182" s="156" t="n"/>
      <c r="T182" s="157" t="n"/>
    </row>
    <row r="183" ht="24" customHeight="1" s="97">
      <c r="A183" s="109" t="inlineStr">
        <is>
          <t>冉哥组</t>
        </is>
      </c>
      <c r="B183" s="124" t="n">
        <v>1</v>
      </c>
      <c r="C183" s="117" t="inlineStr">
        <is>
          <t>冉钦</t>
        </is>
      </c>
      <c r="D183" s="117" t="inlineStr">
        <is>
          <t>湖南麓湖数据科技</t>
        </is>
      </c>
      <c r="E183" s="117" t="inlineStr">
        <is>
          <t>8人CS</t>
        </is>
      </c>
      <c r="F183" s="117" t="inlineStr">
        <is>
          <t>长沙太平老街</t>
        </is>
      </c>
      <c r="G183" s="117" t="n"/>
      <c r="H183" s="168" t="inlineStr">
        <is>
          <t>1月签并有回款</t>
        </is>
      </c>
      <c r="I183" s="169" t="n">
        <v>152000</v>
      </c>
      <c r="J183" s="169" t="n"/>
      <c r="K183" s="169" t="n"/>
      <c r="L183" s="169" t="n"/>
      <c r="M183" s="169" t="n"/>
      <c r="N183" s="169" t="n"/>
      <c r="O183" s="169" t="n"/>
      <c r="P183" s="169" t="n"/>
      <c r="Q183" s="169" t="n"/>
      <c r="R183" s="169" t="n"/>
      <c r="S183" s="169" t="n"/>
      <c r="T183" s="169" t="n"/>
    </row>
    <row r="184" ht="24" customHeight="1" s="97">
      <c r="A184" s="161" t="n"/>
      <c r="B184" s="124" t="n">
        <v>2</v>
      </c>
      <c r="C184" s="117" t="inlineStr">
        <is>
          <t>冉钦</t>
        </is>
      </c>
      <c r="D184" s="117" t="inlineStr">
        <is>
          <t>成都安之于数字科技有限公司</t>
        </is>
      </c>
      <c r="E184" s="117" t="inlineStr">
        <is>
          <t>地心幽境2部</t>
        </is>
      </c>
      <c r="F184" s="117" t="inlineStr">
        <is>
          <t>成都</t>
        </is>
      </c>
      <c r="G184" s="117" t="n"/>
      <c r="H184" s="168" t="inlineStr">
        <is>
          <t>2月签并有回款</t>
        </is>
      </c>
      <c r="I184" s="169" t="n"/>
      <c r="J184" s="169" t="n">
        <v>36000</v>
      </c>
      <c r="K184" s="169" t="n"/>
      <c r="L184" s="169" t="n"/>
      <c r="M184" s="169" t="n"/>
      <c r="N184" s="169" t="n"/>
      <c r="O184" s="169" t="n"/>
      <c r="P184" s="169" t="n"/>
      <c r="Q184" s="169" t="n"/>
      <c r="R184" s="169" t="n"/>
      <c r="S184" s="169" t="n"/>
      <c r="T184" s="169" t="n"/>
    </row>
    <row r="185" ht="24" customHeight="1" s="97">
      <c r="A185" s="161" t="n"/>
      <c r="B185" s="124" t="n">
        <v>3</v>
      </c>
      <c r="C185" s="117" t="inlineStr">
        <is>
          <t>冉钦</t>
        </is>
      </c>
      <c r="D185" s="117" t="inlineStr">
        <is>
          <t>北京魅氪科技有限公司</t>
        </is>
      </c>
      <c r="E185" s="117" t="inlineStr">
        <is>
          <t>6人CS</t>
        </is>
      </c>
      <c r="F185" s="117" t="inlineStr">
        <is>
          <t>北京</t>
        </is>
      </c>
      <c r="G185" s="117" t="n"/>
      <c r="H185" s="168" t="inlineStr">
        <is>
          <t>5月签并有回款</t>
        </is>
      </c>
      <c r="I185" s="169" t="n"/>
      <c r="J185" s="169" t="n"/>
      <c r="K185" s="169" t="n"/>
      <c r="L185" s="169" t="n"/>
      <c r="M185" s="169" t="n">
        <v>150000</v>
      </c>
      <c r="N185" s="169" t="n"/>
      <c r="O185" s="169" t="n"/>
      <c r="P185" s="169" t="n"/>
      <c r="Q185" s="169" t="n"/>
      <c r="R185" s="169" t="n"/>
      <c r="S185" s="169" t="n"/>
      <c r="T185" s="169" t="n"/>
    </row>
    <row r="186" ht="24" customHeight="1" s="97">
      <c r="A186" s="161" t="n"/>
      <c r="B186" s="124" t="n">
        <v>4</v>
      </c>
      <c r="C186" s="124" t="inlineStr">
        <is>
          <t>冉钦</t>
        </is>
      </c>
      <c r="D186" s="124" t="inlineStr">
        <is>
          <t>广州即视互动</t>
        </is>
      </c>
      <c r="E186" s="124" t="inlineStr">
        <is>
          <t>漠河球幕影院内容制作</t>
        </is>
      </c>
      <c r="F186" s="124" t="inlineStr">
        <is>
          <t>漠河</t>
        </is>
      </c>
      <c r="G186" s="124" t="n"/>
      <c r="H186" s="159" t="inlineStr">
        <is>
          <t>预算180-200万之间,预计这两个月签约</t>
        </is>
      </c>
      <c r="I186" s="160" t="n"/>
      <c r="J186" s="160" t="n"/>
      <c r="K186" s="160" t="n"/>
      <c r="L186" s="160" t="n"/>
      <c r="M186" s="160" t="n"/>
      <c r="N186" s="160" t="n"/>
      <c r="O186" s="160" t="n"/>
      <c r="P186" s="160" t="n"/>
      <c r="Q186" s="160" t="n"/>
      <c r="R186" s="160" t="n"/>
      <c r="S186" s="160" t="n"/>
      <c r="T186" s="160" t="n"/>
    </row>
    <row r="187" ht="24" customHeight="1" s="97">
      <c r="A187" s="161" t="n"/>
      <c r="B187" s="124" t="n">
        <v>5</v>
      </c>
      <c r="C187" s="124" t="inlineStr">
        <is>
          <t>冉钦</t>
        </is>
      </c>
      <c r="D187" s="124" t="inlineStr">
        <is>
          <t>山西杨总（太原国投晋源发展有限公司）</t>
        </is>
      </c>
      <c r="E187" s="124" t="inlineStr">
        <is>
          <t>LED飞行影院+10人VR大空间+4人CS</t>
        </is>
      </c>
      <c r="F187" s="124" t="inlineStr">
        <is>
          <t>山西太原</t>
        </is>
      </c>
      <c r="G187" s="124" t="inlineStr">
        <is>
          <t>GTI</t>
        </is>
      </c>
      <c r="H187" s="159" t="inlineStr">
        <is>
          <t>跟进中</t>
        </is>
      </c>
      <c r="I187" s="160" t="n"/>
      <c r="J187" s="160" t="n"/>
      <c r="K187" s="160" t="n"/>
      <c r="L187" s="160" t="n"/>
      <c r="M187" s="160" t="n"/>
      <c r="N187" s="160" t="n"/>
      <c r="O187" s="160" t="n">
        <v>1100000</v>
      </c>
      <c r="P187" s="160" t="n"/>
      <c r="Q187" s="160" t="n"/>
      <c r="R187" s="160" t="n"/>
      <c r="S187" s="160" t="n"/>
      <c r="T187" s="160" t="n"/>
    </row>
    <row r="188" ht="24" customHeight="1" s="97">
      <c r="A188" s="161" t="n"/>
      <c r="B188" s="124" t="n">
        <v>6</v>
      </c>
      <c r="C188" s="124" t="inlineStr">
        <is>
          <t>冉钦</t>
        </is>
      </c>
      <c r="D188" s="124" t="inlineStr">
        <is>
          <t>哈尔滨佳兆文化</t>
        </is>
      </c>
      <c r="E188" s="124" t="inlineStr">
        <is>
          <t>全品+16米球幕+内容定制</t>
        </is>
      </c>
      <c r="F188" s="124" t="inlineStr">
        <is>
          <t>哈尔滨</t>
        </is>
      </c>
      <c r="G188" s="124" t="inlineStr">
        <is>
          <t>郑州展会</t>
        </is>
      </c>
      <c r="H188" s="159" t="inlineStr">
        <is>
          <t>2026年项目</t>
        </is>
      </c>
      <c r="I188" s="160" t="n"/>
      <c r="J188" s="160" t="n"/>
      <c r="K188" s="160" t="n"/>
      <c r="L188" s="160" t="n"/>
      <c r="M188" s="160" t="n"/>
      <c r="N188" s="160" t="n"/>
      <c r="O188" s="160" t="n"/>
      <c r="P188" s="160" t="n"/>
      <c r="Q188" s="160" t="n"/>
      <c r="R188" s="160" t="n"/>
      <c r="S188" s="160" t="n"/>
      <c r="T188" s="160" t="n"/>
    </row>
    <row r="189" ht="24" customHeight="1" s="97">
      <c r="A189" s="161" t="n"/>
      <c r="B189" s="124" t="n">
        <v>7</v>
      </c>
      <c r="C189" s="124" t="inlineStr">
        <is>
          <t>冉钦</t>
        </is>
      </c>
      <c r="D189" s="124" t="inlineStr">
        <is>
          <t>青岛极地海洋世界</t>
        </is>
      </c>
      <c r="E189" s="124" t="inlineStr">
        <is>
          <t>科普研学基地打造</t>
        </is>
      </c>
      <c r="F189" s="124" t="inlineStr">
        <is>
          <t>青岛</t>
        </is>
      </c>
      <c r="G189" s="124" t="n"/>
      <c r="H189" s="159" t="n"/>
      <c r="I189" s="169" t="n"/>
      <c r="J189" s="169" t="n"/>
      <c r="K189" s="169" t="n"/>
      <c r="L189" s="169" t="n"/>
      <c r="M189" s="169" t="n"/>
      <c r="N189" s="169" t="n"/>
      <c r="O189" s="169" t="n"/>
      <c r="P189" s="169" t="n"/>
      <c r="Q189" s="169" t="n"/>
      <c r="R189" s="169" t="n"/>
      <c r="S189" s="169" t="n"/>
      <c r="T189" s="169" t="n"/>
    </row>
    <row r="190" ht="24" customHeight="1" s="97">
      <c r="A190" s="161" t="n"/>
      <c r="B190" s="124" t="n">
        <v>8</v>
      </c>
      <c r="C190" s="124" t="inlineStr">
        <is>
          <t>冉钦</t>
        </is>
      </c>
      <c r="D190" s="124" t="inlineStr">
        <is>
          <t>广州励丰集团</t>
        </is>
      </c>
      <c r="E190" s="124" t="inlineStr">
        <is>
          <t>XR剧场</t>
        </is>
      </c>
      <c r="F190" s="124" t="inlineStr">
        <is>
          <t>黄埔扶胥河</t>
        </is>
      </c>
      <c r="G190" s="179" t="n"/>
      <c r="H190" s="159" t="n"/>
      <c r="I190" s="169" t="n"/>
      <c r="J190" s="169" t="n"/>
      <c r="K190" s="169" t="n"/>
      <c r="L190" s="169" t="n"/>
      <c r="M190" s="169" t="n"/>
      <c r="N190" s="169" t="n"/>
      <c r="O190" s="169" t="n"/>
      <c r="P190" s="169" t="n"/>
      <c r="Q190" s="169" t="n"/>
      <c r="R190" s="169" t="n"/>
      <c r="S190" s="169" t="n"/>
      <c r="T190" s="169" t="n"/>
    </row>
    <row r="191" ht="24" customHeight="1" s="97">
      <c r="A191" s="161" t="n"/>
      <c r="B191" s="124" t="n">
        <v>9</v>
      </c>
      <c r="C191" s="179" t="inlineStr">
        <is>
          <t>冉钦</t>
        </is>
      </c>
      <c r="D191" s="179" t="inlineStr">
        <is>
          <t>深圳致空科技</t>
        </is>
      </c>
      <c r="E191" s="179" t="inlineStr">
        <is>
          <t>中东博物馆标准化采购和数字化定制</t>
        </is>
      </c>
      <c r="F191" s="179" t="inlineStr">
        <is>
          <t>中东</t>
        </is>
      </c>
      <c r="G191" s="179" t="n"/>
      <c r="H191" s="159" t="inlineStr">
        <is>
          <t>预计年底</t>
        </is>
      </c>
      <c r="I191" s="169" t="n"/>
      <c r="J191" s="169" t="n"/>
      <c r="K191" s="169" t="n"/>
      <c r="L191" s="169" t="n"/>
      <c r="M191" s="169" t="n"/>
      <c r="N191" s="169" t="n"/>
      <c r="O191" s="169" t="n"/>
      <c r="P191" s="169" t="n"/>
      <c r="Q191" s="169" t="n"/>
      <c r="R191" s="169" t="n"/>
      <c r="S191" s="169" t="n"/>
      <c r="T191" s="169" t="n"/>
    </row>
    <row r="192" ht="24" customHeight="1" s="97">
      <c r="A192" s="161" t="n"/>
      <c r="B192" s="124" t="n">
        <v>10</v>
      </c>
      <c r="C192" s="179" t="inlineStr">
        <is>
          <t>冉钦</t>
        </is>
      </c>
      <c r="D192" s="179" t="inlineStr">
        <is>
          <t>山东东营集结号</t>
        </is>
      </c>
      <c r="E192" s="179" t="inlineStr">
        <is>
          <t>15人VR大空间+6人CS</t>
        </is>
      </c>
      <c r="F192" s="179" t="inlineStr">
        <is>
          <t>集结号国防教育实训基地</t>
        </is>
      </c>
      <c r="G192" s="179" t="n"/>
      <c r="H192" s="159" t="inlineStr">
        <is>
          <t>预计在暑假期间开始</t>
        </is>
      </c>
      <c r="I192" s="169" t="n"/>
      <c r="J192" s="169" t="n"/>
      <c r="K192" s="169" t="n"/>
      <c r="L192" s="169" t="n"/>
      <c r="M192" s="169" t="n"/>
      <c r="N192" s="180" t="n">
        <v>285000</v>
      </c>
      <c r="O192" s="169" t="n"/>
      <c r="P192" s="169" t="n"/>
      <c r="Q192" s="169" t="n"/>
      <c r="R192" s="169" t="n"/>
      <c r="S192" s="169" t="n"/>
      <c r="T192" s="169" t="n"/>
    </row>
    <row r="193" ht="24" customHeight="1" s="97">
      <c r="A193" s="161" t="n"/>
      <c r="B193" s="124" t="n">
        <v>11</v>
      </c>
      <c r="C193" s="175" t="inlineStr">
        <is>
          <t>冉钦</t>
        </is>
      </c>
      <c r="D193" s="175" t="inlineStr">
        <is>
          <t>诺瓦-嗨动视觉</t>
        </is>
      </c>
      <c r="E193" s="175" t="inlineStr">
        <is>
          <t>轨道影院+三屏赛车/飞跃新疆内容定制、大矿洞历险记内容定制
渠道：诺瓦-嗨动视觉</t>
        </is>
      </c>
      <c r="F193" s="175" t="inlineStr">
        <is>
          <t>山西整馆项目、新疆东天山自然博览馆</t>
        </is>
      </c>
      <c r="G193" s="175" t="n"/>
      <c r="H193" s="181" t="inlineStr">
        <is>
          <t>内容定制总包给客户报价在3000元每秒</t>
        </is>
      </c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</row>
    <row r="194" ht="24" customHeight="1" s="97">
      <c r="A194" s="161" t="n"/>
      <c r="B194" s="124" t="n">
        <v>12</v>
      </c>
      <c r="C194" s="175" t="inlineStr">
        <is>
          <t>冉钦</t>
        </is>
      </c>
      <c r="D194" s="175" t="inlineStr">
        <is>
          <t>北京宇诺展览展示</t>
        </is>
      </c>
      <c r="E194" s="175" t="inlineStr">
        <is>
          <t>32人LED环幕滑轨影院、飞跃中国内容定制、MR CS军事定制</t>
        </is>
      </c>
      <c r="F194" s="175" t="inlineStr">
        <is>
          <t>天津某军事博物馆</t>
        </is>
      </c>
      <c r="G194" s="175" t="inlineStr">
        <is>
          <t>意林介绍</t>
        </is>
      </c>
      <c r="H194" s="181" t="inlineStr">
        <is>
          <t>45.3+146+270万</t>
        </is>
      </c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</row>
    <row r="195" ht="24" customHeight="1" s="97">
      <c r="A195" s="161" t="n"/>
      <c r="B195" s="124" t="n">
        <v>13</v>
      </c>
      <c r="C195" s="175" t="inlineStr">
        <is>
          <t>冉钦</t>
        </is>
      </c>
      <c r="D195" s="175" t="inlineStr">
        <is>
          <t>北京诣想华苒</t>
        </is>
      </c>
      <c r="E195" s="175" t="inlineStr">
        <is>
          <t>无限方舟+1分钟内容定制</t>
        </is>
      </c>
      <c r="F195" s="175" t="inlineStr">
        <is>
          <t>北京、成都等临展</t>
        </is>
      </c>
      <c r="G195" s="175" t="n"/>
      <c r="H195" s="181" t="inlineStr">
        <is>
          <t>200万左右</t>
        </is>
      </c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>
        <v>2000000</v>
      </c>
      <c r="S195" s="180" t="n"/>
      <c r="T195" s="180" t="n"/>
    </row>
    <row r="196" ht="24" customHeight="1" s="97">
      <c r="A196" s="161" t="n"/>
      <c r="B196" s="124" t="n">
        <v>14</v>
      </c>
      <c r="C196" s="179" t="inlineStr">
        <is>
          <t>冉钦</t>
        </is>
      </c>
      <c r="D196" s="179" t="inlineStr">
        <is>
          <t>吉林翌格科技</t>
        </is>
      </c>
      <c r="E196" s="179" t="inlineStr">
        <is>
          <t>4人CS+环游华夏授权</t>
        </is>
      </c>
      <c r="F196" s="179" t="inlineStr">
        <is>
          <t>长春人文学院</t>
        </is>
      </c>
      <c r="G196" s="179" t="n"/>
      <c r="H196" s="159" t="inlineStr">
        <is>
          <t>9月下半旬开始投标</t>
        </is>
      </c>
      <c r="I196" s="174" t="n"/>
      <c r="J196" s="174" t="n"/>
      <c r="K196" s="174" t="n"/>
      <c r="L196" s="174" t="n"/>
      <c r="M196" s="174" t="n"/>
      <c r="N196" s="174" t="n"/>
      <c r="O196" s="174" t="n"/>
      <c r="P196" s="174" t="n"/>
      <c r="Q196" s="174" t="n"/>
      <c r="R196" s="174" t="n"/>
      <c r="S196" s="174" t="n"/>
      <c r="T196" s="174" t="n"/>
    </row>
    <row r="197" hidden="1" ht="24" customHeight="1" s="97">
      <c r="A197" s="161" t="n"/>
      <c r="B197" s="124" t="n">
        <v>15</v>
      </c>
      <c r="C197" s="172" t="inlineStr">
        <is>
          <t>冉钦</t>
        </is>
      </c>
      <c r="D197" s="172" t="inlineStr">
        <is>
          <t>刘总</t>
        </is>
      </c>
      <c r="E197" s="172" t="inlineStr">
        <is>
          <t>4人CS</t>
        </is>
      </c>
      <c r="F197" s="172" t="inlineStr">
        <is>
          <t>东莞桌球室</t>
        </is>
      </c>
      <c r="G197" s="172" t="n"/>
      <c r="H197" s="173" t="inlineStr">
        <is>
          <t>当地桌球设计公司</t>
        </is>
      </c>
      <c r="I197" s="174" t="n"/>
      <c r="J197" s="174" t="n"/>
      <c r="K197" s="174" t="n"/>
      <c r="L197" s="174" t="n"/>
      <c r="M197" s="174" t="n"/>
      <c r="N197" s="174" t="n"/>
      <c r="O197" s="174" t="n"/>
      <c r="P197" s="174" t="n"/>
      <c r="Q197" s="174" t="n"/>
      <c r="R197" s="174" t="n"/>
      <c r="S197" s="174" t="n"/>
      <c r="T197" s="174" t="n"/>
    </row>
    <row r="198" hidden="1" ht="24" customHeight="1" s="97">
      <c r="A198" s="161" t="n"/>
      <c r="B198" s="124" t="n">
        <v>16</v>
      </c>
      <c r="C198" s="172" t="inlineStr">
        <is>
          <t>冉钦</t>
        </is>
      </c>
      <c r="D198" s="172" t="inlineStr">
        <is>
          <t>广州励丰集团</t>
        </is>
      </c>
      <c r="E198" s="172" t="inlineStr">
        <is>
          <t>LED末日飓风</t>
        </is>
      </c>
      <c r="F198" s="172" t="inlineStr">
        <is>
          <t>大连星海湾</t>
        </is>
      </c>
      <c r="G198" s="172" t="n"/>
      <c r="H198" s="173" t="n"/>
      <c r="I198" s="174" t="n"/>
      <c r="J198" s="174" t="n"/>
      <c r="K198" s="174" t="n"/>
      <c r="L198" s="174" t="n"/>
      <c r="M198" s="174" t="n"/>
      <c r="N198" s="174" t="n"/>
      <c r="O198" s="174" t="n"/>
      <c r="P198" s="174" t="n"/>
      <c r="Q198" s="174" t="n"/>
      <c r="R198" s="174" t="n"/>
      <c r="S198" s="174" t="n"/>
      <c r="T198" s="174" t="n"/>
    </row>
    <row r="199" hidden="1" ht="24" customHeight="1" s="97">
      <c r="A199" s="161" t="n"/>
      <c r="B199" s="124" t="n">
        <v>17</v>
      </c>
      <c r="C199" s="172" t="inlineStr">
        <is>
          <t>冉钦</t>
        </is>
      </c>
      <c r="D199" s="172" t="inlineStr">
        <is>
          <t>陈巴尔虎旗天边的曲河旅游</t>
        </is>
      </c>
      <c r="E199" s="172" t="inlineStr">
        <is>
          <t>球幕影院</t>
        </is>
      </c>
      <c r="F199" s="172" t="inlineStr">
        <is>
          <t>呼伦贝尔大草原</t>
        </is>
      </c>
      <c r="G199" s="172" t="inlineStr">
        <is>
          <t>郑州展会</t>
        </is>
      </c>
      <c r="H199" s="173" t="n"/>
      <c r="I199" s="174" t="n"/>
      <c r="J199" s="174" t="n"/>
      <c r="K199" s="174" t="n"/>
      <c r="L199" s="174" t="n"/>
      <c r="M199" s="174" t="n"/>
      <c r="N199" s="174" t="n"/>
      <c r="O199" s="174" t="n"/>
      <c r="P199" s="174" t="n"/>
      <c r="Q199" s="174" t="n"/>
      <c r="R199" s="174" t="n"/>
      <c r="S199" s="174" t="n"/>
      <c r="T199" s="174" t="n"/>
    </row>
    <row r="200" hidden="1" ht="24" customHeight="1" s="97">
      <c r="A200" s="161" t="n"/>
      <c r="B200" s="124" t="n">
        <v>18</v>
      </c>
      <c r="C200" s="172" t="inlineStr">
        <is>
          <t>冉钦</t>
        </is>
      </c>
      <c r="D200" s="172" t="inlineStr">
        <is>
          <t>甘肃融媒体中心</t>
        </is>
      </c>
      <c r="E200" s="172" t="inlineStr">
        <is>
          <t>15人VR大空间+10人CS内容授权</t>
        </is>
      </c>
      <c r="F200" s="172" t="inlineStr">
        <is>
          <t>甘肃融媒体中心</t>
        </is>
      </c>
      <c r="G200" s="172" t="n"/>
      <c r="H200" s="173" t="n">
        <v>430000</v>
      </c>
      <c r="I200" s="174" t="n"/>
      <c r="J200" s="174" t="n"/>
      <c r="K200" s="174" t="n"/>
      <c r="L200" s="174" t="n"/>
      <c r="M200" s="174" t="n"/>
      <c r="N200" s="174" t="n"/>
      <c r="O200" s="174" t="n"/>
      <c r="P200" s="174" t="n"/>
      <c r="Q200" s="174" t="n"/>
      <c r="R200" s="174" t="n"/>
      <c r="S200" s="174" t="n"/>
      <c r="T200" s="174" t="n"/>
    </row>
    <row r="201" hidden="1" ht="24" customHeight="1" s="97">
      <c r="A201" s="161" t="n"/>
      <c r="B201" s="124" t="n">
        <v>19</v>
      </c>
      <c r="C201" s="131" t="inlineStr">
        <is>
          <t>冉钦</t>
        </is>
      </c>
      <c r="D201" s="131" t="inlineStr">
        <is>
          <t>昌德文旅史总</t>
        </is>
      </c>
      <c r="E201" s="131" t="inlineStr">
        <is>
          <t>LED飞行影院</t>
        </is>
      </c>
      <c r="F201" s="131" t="inlineStr">
        <is>
          <t>河南洛阳</t>
        </is>
      </c>
      <c r="G201" s="131" t="inlineStr">
        <is>
          <t>GTI</t>
        </is>
      </c>
      <c r="H201" s="177" t="inlineStr">
        <is>
          <t>跟进中，800000</t>
        </is>
      </c>
      <c r="I201" s="176" t="n"/>
      <c r="J201" s="176" t="n"/>
      <c r="K201" s="176" t="n"/>
      <c r="L201" s="176" t="n"/>
      <c r="M201" s="176" t="n"/>
      <c r="N201" s="176" t="n"/>
      <c r="O201" s="176" t="n"/>
      <c r="P201" s="176" t="n"/>
      <c r="Q201" s="176" t="n"/>
      <c r="R201" s="176" t="n"/>
      <c r="S201" s="176" t="n"/>
      <c r="T201" s="176" t="n"/>
    </row>
    <row r="202" hidden="1" ht="24" customHeight="1" s="97">
      <c r="A202" s="161" t="n"/>
      <c r="B202" s="124" t="n">
        <v>20</v>
      </c>
      <c r="C202" s="172" t="inlineStr">
        <is>
          <t>冉钦</t>
        </is>
      </c>
      <c r="D202" s="172" t="inlineStr">
        <is>
          <t>广州励丰集团</t>
        </is>
      </c>
      <c r="E202" s="172" t="inlineStr">
        <is>
          <t>LED球幕内容制作</t>
        </is>
      </c>
      <c r="F202" s="172" t="inlineStr">
        <is>
          <t>漠河、大连、潜江</t>
        </is>
      </c>
      <c r="G202" s="172" t="n"/>
      <c r="H202" s="173" t="n"/>
      <c r="I202" s="160" t="n"/>
      <c r="J202" s="160" t="n"/>
      <c r="K202" s="160" t="n"/>
      <c r="L202" s="160" t="n"/>
      <c r="M202" s="160" t="n"/>
      <c r="N202" s="160" t="n"/>
      <c r="O202" s="160" t="n"/>
      <c r="P202" s="160" t="n"/>
      <c r="Q202" s="160" t="n"/>
      <c r="R202" s="160" t="n"/>
      <c r="S202" s="160" t="n"/>
      <c r="T202" s="160" t="n"/>
    </row>
    <row r="203" ht="28" customHeight="1" s="97">
      <c r="A203" s="161" t="n"/>
      <c r="B203" s="120" t="inlineStr">
        <is>
          <t>个人月度合计：</t>
        </is>
      </c>
      <c r="C203" s="156" t="n"/>
      <c r="D203" s="156" t="n"/>
      <c r="E203" s="156" t="n"/>
      <c r="F203" s="156" t="n"/>
      <c r="G203" s="156" t="n"/>
      <c r="H203" s="157" t="n"/>
      <c r="I203" s="164">
        <f>SUM(I183:I202)</f>
        <v/>
      </c>
      <c r="J203" s="164">
        <f>SUM(J183:J202)</f>
        <v/>
      </c>
      <c r="K203" s="164">
        <f>SUM(K183:K202)</f>
        <v/>
      </c>
      <c r="L203" s="164">
        <f>SUM(L183:L202)</f>
        <v/>
      </c>
      <c r="M203" s="164">
        <f>SUM(M183:M202)</f>
        <v/>
      </c>
      <c r="N203" s="164">
        <f>SUM(N183:N202)</f>
        <v/>
      </c>
      <c r="O203" s="164">
        <f>SUM(O183:O202)</f>
        <v/>
      </c>
      <c r="P203" s="164">
        <f>SUM(P183:P202)</f>
        <v/>
      </c>
      <c r="Q203" s="164">
        <f>SUM(Q183:Q202)</f>
        <v/>
      </c>
      <c r="R203" s="164">
        <f>SUM(R183:R202)</f>
        <v/>
      </c>
      <c r="S203" s="164">
        <f>SUM(S183:S202)</f>
        <v/>
      </c>
      <c r="T203" s="164">
        <f>SUM(T183:T202)</f>
        <v/>
      </c>
    </row>
    <row r="204" ht="28" customHeight="1" s="97">
      <c r="A204" s="161" t="n"/>
      <c r="B204" s="120" t="inlineStr">
        <is>
          <t>个人季度合计：</t>
        </is>
      </c>
      <c r="C204" s="156" t="n"/>
      <c r="D204" s="156" t="n"/>
      <c r="E204" s="156" t="n"/>
      <c r="F204" s="156" t="n"/>
      <c r="G204" s="156" t="n"/>
      <c r="H204" s="157" t="n"/>
      <c r="I204" s="164">
        <f>SUM(I203:K203)</f>
        <v/>
      </c>
      <c r="J204" s="156" t="n"/>
      <c r="K204" s="157" t="n"/>
      <c r="L204" s="164">
        <f>SUM(L203:N203)</f>
        <v/>
      </c>
      <c r="M204" s="156" t="n"/>
      <c r="N204" s="157" t="n"/>
      <c r="O204" s="164">
        <f>SUM(O203:Q203)</f>
        <v/>
      </c>
      <c r="P204" s="156" t="n"/>
      <c r="Q204" s="157" t="n"/>
      <c r="R204" s="164">
        <f>SUM(R203:T203)</f>
        <v/>
      </c>
      <c r="S204" s="156" t="n"/>
      <c r="T204" s="157" t="n"/>
    </row>
    <row r="205" ht="28" customHeight="1" s="97">
      <c r="A205" s="161" t="n"/>
      <c r="B205" s="120" t="inlineStr">
        <is>
          <t>个人年度合计：</t>
        </is>
      </c>
      <c r="C205" s="156" t="n"/>
      <c r="D205" s="156" t="n"/>
      <c r="E205" s="156" t="n"/>
      <c r="F205" s="156" t="n"/>
      <c r="G205" s="156" t="n"/>
      <c r="H205" s="157" t="n"/>
      <c r="I205" s="164">
        <f>SUM(I203:T203)</f>
        <v/>
      </c>
      <c r="J205" s="156" t="n"/>
      <c r="K205" s="156" t="n"/>
      <c r="L205" s="156" t="n"/>
      <c r="M205" s="156" t="n"/>
      <c r="N205" s="156" t="n"/>
      <c r="O205" s="156" t="n"/>
      <c r="P205" s="156" t="n"/>
      <c r="Q205" s="156" t="n"/>
      <c r="R205" s="156" t="n"/>
      <c r="S205" s="156" t="n"/>
      <c r="T205" s="157" t="n"/>
    </row>
    <row r="206" ht="18" customHeight="1" s="97">
      <c r="A206" s="161" t="n"/>
      <c r="B206" s="124" t="n"/>
      <c r="C206" s="156" t="n"/>
      <c r="D206" s="156" t="n"/>
      <c r="E206" s="156" t="n"/>
      <c r="F206" s="156" t="n"/>
      <c r="G206" s="156" t="n"/>
      <c r="H206" s="156" t="n"/>
      <c r="I206" s="156" t="n"/>
      <c r="J206" s="156" t="n"/>
      <c r="K206" s="156" t="n"/>
      <c r="L206" s="156" t="n"/>
      <c r="M206" s="156" t="n"/>
      <c r="N206" s="156" t="n"/>
      <c r="O206" s="156" t="n"/>
      <c r="P206" s="156" t="n"/>
      <c r="Q206" s="156" t="n"/>
      <c r="R206" s="156" t="n"/>
      <c r="S206" s="156" t="n"/>
      <c r="T206" s="157" t="n"/>
    </row>
    <row r="207" ht="28" customHeight="1" s="97">
      <c r="A207" s="161" t="n"/>
      <c r="B207" s="145" t="inlineStr">
        <is>
          <t>小组月度合计：</t>
        </is>
      </c>
      <c r="C207" s="156" t="n"/>
      <c r="D207" s="156" t="n"/>
      <c r="E207" s="156" t="n"/>
      <c r="F207" s="156" t="n"/>
      <c r="G207" s="156" t="n"/>
      <c r="H207" s="157" t="n"/>
      <c r="I207" s="166">
        <f>SUM(I203)</f>
        <v/>
      </c>
      <c r="J207" s="166">
        <f>SUM(J203)</f>
        <v/>
      </c>
      <c r="K207" s="166">
        <f>SUM(K203)</f>
        <v/>
      </c>
      <c r="L207" s="166">
        <f>SUM(L203)</f>
        <v/>
      </c>
      <c r="M207" s="166">
        <f>SUM(M203)</f>
        <v/>
      </c>
      <c r="N207" s="166">
        <f>SUM(N203)</f>
        <v/>
      </c>
      <c r="O207" s="166">
        <f>SUM(O203)</f>
        <v/>
      </c>
      <c r="P207" s="166">
        <f>SUM(P203)</f>
        <v/>
      </c>
      <c r="Q207" s="166">
        <f>SUM(Q203)</f>
        <v/>
      </c>
      <c r="R207" s="166">
        <f>SUM(R203)</f>
        <v/>
      </c>
      <c r="S207" s="166">
        <f>SUM(S203)</f>
        <v/>
      </c>
      <c r="T207" s="166">
        <f>SUM(T203)</f>
        <v/>
      </c>
    </row>
    <row r="208" ht="28" customHeight="1" s="97">
      <c r="A208" s="161" t="n"/>
      <c r="B208" s="145" t="inlineStr">
        <is>
          <t>小组季度合计：</t>
        </is>
      </c>
      <c r="C208" s="156" t="n"/>
      <c r="D208" s="156" t="n"/>
      <c r="E208" s="156" t="n"/>
      <c r="F208" s="156" t="n"/>
      <c r="G208" s="156" t="n"/>
      <c r="H208" s="157" t="n"/>
      <c r="I208" s="166">
        <f>SUM(I207:K207)</f>
        <v/>
      </c>
      <c r="J208" s="156" t="n"/>
      <c r="K208" s="157" t="n"/>
      <c r="L208" s="166">
        <f>SUM(L207:N207)</f>
        <v/>
      </c>
      <c r="M208" s="156" t="n"/>
      <c r="N208" s="157" t="n"/>
      <c r="O208" s="166">
        <f>SUM(O207:Q207)</f>
        <v/>
      </c>
      <c r="P208" s="156" t="n"/>
      <c r="Q208" s="157" t="n"/>
      <c r="R208" s="166">
        <f>SUM(R207:T207)</f>
        <v/>
      </c>
      <c r="S208" s="156" t="n"/>
      <c r="T208" s="157" t="n"/>
    </row>
    <row r="209" ht="28" customHeight="1" s="97">
      <c r="A209" s="158" t="n"/>
      <c r="B209" s="145" t="inlineStr">
        <is>
          <t>小组年度合计：</t>
        </is>
      </c>
      <c r="C209" s="156" t="n"/>
      <c r="D209" s="156" t="n"/>
      <c r="E209" s="156" t="n"/>
      <c r="F209" s="156" t="n"/>
      <c r="G209" s="156" t="n"/>
      <c r="H209" s="157" t="n"/>
      <c r="I209" s="166">
        <f>SUM(I207:T207)</f>
        <v/>
      </c>
      <c r="J209" s="156" t="n"/>
      <c r="K209" s="156" t="n"/>
      <c r="L209" s="156" t="n"/>
      <c r="M209" s="156" t="n"/>
      <c r="N209" s="156" t="n"/>
      <c r="O209" s="156" t="n"/>
      <c r="P209" s="156" t="n"/>
      <c r="Q209" s="156" t="n"/>
      <c r="R209" s="156" t="n"/>
      <c r="S209" s="156" t="n"/>
      <c r="T209" s="157" t="n"/>
    </row>
    <row r="210" ht="18" customHeight="1" s="97">
      <c r="A210" s="147" t="n"/>
      <c r="B210" s="156" t="n"/>
      <c r="C210" s="156" t="n"/>
      <c r="D210" s="156" t="n"/>
      <c r="E210" s="156" t="n"/>
      <c r="F210" s="156" t="n"/>
      <c r="G210" s="156" t="n"/>
      <c r="H210" s="156" t="n"/>
      <c r="I210" s="156" t="n"/>
      <c r="J210" s="156" t="n"/>
      <c r="K210" s="156" t="n"/>
      <c r="L210" s="156" t="n"/>
      <c r="M210" s="156" t="n"/>
      <c r="N210" s="156" t="n"/>
      <c r="O210" s="156" t="n"/>
      <c r="P210" s="156" t="n"/>
      <c r="Q210" s="156" t="n"/>
      <c r="R210" s="156" t="n"/>
      <c r="S210" s="156" t="n"/>
      <c r="T210" s="157" t="n"/>
    </row>
    <row r="211" ht="28" customHeight="1" s="97">
      <c r="A211" s="154" t="inlineStr">
        <is>
          <t>部门月度合计：</t>
        </is>
      </c>
      <c r="B211" s="156" t="n"/>
      <c r="C211" s="156" t="n"/>
      <c r="D211" s="156" t="n"/>
      <c r="E211" s="156" t="n"/>
      <c r="F211" s="156" t="n"/>
      <c r="G211" s="156" t="n"/>
      <c r="H211" s="157" t="n"/>
      <c r="I211" s="166">
        <f>SUM(I48,I109,I144,I179,I207)</f>
        <v/>
      </c>
      <c r="J211" s="166">
        <f>SUM(J48,J109,J144,J179,J207)</f>
        <v/>
      </c>
      <c r="K211" s="166">
        <f>SUM(K48,K109,K144,K179,K207)</f>
        <v/>
      </c>
      <c r="L211" s="166">
        <f>SUM(L48,L109,L144,L179,L207)</f>
        <v/>
      </c>
      <c r="M211" s="166">
        <f>SUM(M48,M109,M144,M179,M207)</f>
        <v/>
      </c>
      <c r="N211" s="166">
        <f>SUM(N48,N109,N144,N179,N207)</f>
        <v/>
      </c>
      <c r="O211" s="166">
        <f>SUM(O48,O109,O144,O179,O207)</f>
        <v/>
      </c>
      <c r="P211" s="166">
        <f>SUM(P48,P109,P144,P179,P207)</f>
        <v/>
      </c>
      <c r="Q211" s="166">
        <f>SUM(Q48,Q109,Q144,Q179,Q207)</f>
        <v/>
      </c>
      <c r="R211" s="166">
        <f>SUM(R48,R109,R144,R179,R207)</f>
        <v/>
      </c>
      <c r="S211" s="166">
        <f>SUM(S48,S109,S144,S179,S207)</f>
        <v/>
      </c>
      <c r="T211" s="166">
        <f>SUM(T48,T109,T144,T179,T207)</f>
        <v/>
      </c>
    </row>
    <row r="212" ht="28" customHeight="1" s="97">
      <c r="A212" s="154" t="inlineStr">
        <is>
          <t>部门季度合计：</t>
        </is>
      </c>
      <c r="B212" s="156" t="n"/>
      <c r="C212" s="156" t="n"/>
      <c r="D212" s="156" t="n"/>
      <c r="E212" s="156" t="n"/>
      <c r="F212" s="156" t="n"/>
      <c r="G212" s="156" t="n"/>
      <c r="H212" s="157" t="n"/>
      <c r="I212" s="166">
        <f>SUM(I211:K211)</f>
        <v/>
      </c>
      <c r="J212" s="156" t="n"/>
      <c r="K212" s="157" t="n"/>
      <c r="L212" s="166">
        <f>SUM(L211:N211)</f>
        <v/>
      </c>
      <c r="M212" s="156" t="n"/>
      <c r="N212" s="157" t="n"/>
      <c r="O212" s="166">
        <f>SUM(O211:Q211)</f>
        <v/>
      </c>
      <c r="P212" s="156" t="n"/>
      <c r="Q212" s="157" t="n"/>
      <c r="R212" s="166">
        <f>SUM(R211:T211)</f>
        <v/>
      </c>
      <c r="S212" s="156" t="n"/>
      <c r="T212" s="157" t="n"/>
    </row>
    <row r="213" ht="28" customHeight="1" s="97">
      <c r="A213" s="154" t="inlineStr">
        <is>
          <t>部门年度合计：</t>
        </is>
      </c>
      <c r="B213" s="156" t="n"/>
      <c r="C213" s="156" t="n"/>
      <c r="D213" s="156" t="n"/>
      <c r="E213" s="156" t="n"/>
      <c r="F213" s="156" t="n"/>
      <c r="G213" s="156" t="n"/>
      <c r="H213" s="157" t="n"/>
      <c r="I213" s="166">
        <f>SUM(I211:T211)</f>
        <v/>
      </c>
      <c r="J213" s="156" t="n"/>
      <c r="K213" s="156" t="n"/>
      <c r="L213" s="156" t="n"/>
      <c r="M213" s="156" t="n"/>
      <c r="N213" s="156" t="n"/>
      <c r="O213" s="156" t="n"/>
      <c r="P213" s="156" t="n"/>
      <c r="Q213" s="156" t="n"/>
      <c r="R213" s="156" t="n"/>
      <c r="S213" s="156" t="n"/>
      <c r="T213" s="157" t="n"/>
    </row>
  </sheetData>
  <autoFilter ref="A3:T64"/>
  <mergeCells count="152">
    <mergeCell ref="L204:N204"/>
    <mergeCell ref="B49:H49"/>
    <mergeCell ref="L141:N141"/>
    <mergeCell ref="R45:T45"/>
    <mergeCell ref="B64:H64"/>
    <mergeCell ref="R110:T110"/>
    <mergeCell ref="B177:H177"/>
    <mergeCell ref="I176:K176"/>
    <mergeCell ref="R91:T91"/>
    <mergeCell ref="R204:T204"/>
    <mergeCell ref="O21:Q21"/>
    <mergeCell ref="I111:T111"/>
    <mergeCell ref="B106:H106"/>
    <mergeCell ref="R141:T141"/>
    <mergeCell ref="I107:T107"/>
    <mergeCell ref="A2:A3"/>
    <mergeCell ref="B209:H209"/>
    <mergeCell ref="C2:C3"/>
    <mergeCell ref="B90:H90"/>
    <mergeCell ref="E2:E3"/>
    <mergeCell ref="B27:H27"/>
    <mergeCell ref="B140:H140"/>
    <mergeCell ref="B180:H180"/>
    <mergeCell ref="R180:T180"/>
    <mergeCell ref="I50:T50"/>
    <mergeCell ref="R176:T176"/>
    <mergeCell ref="O180:Q180"/>
    <mergeCell ref="R38:T38"/>
    <mergeCell ref="I49:K49"/>
    <mergeCell ref="B179:H179"/>
    <mergeCell ref="O204:Q204"/>
    <mergeCell ref="L208:N208"/>
    <mergeCell ref="I2:T2"/>
    <mergeCell ref="B44:H44"/>
    <mergeCell ref="I45:K45"/>
    <mergeCell ref="B29:H29"/>
    <mergeCell ref="R49:T49"/>
    <mergeCell ref="B37:H37"/>
    <mergeCell ref="I141:K141"/>
    <mergeCell ref="B118:H118"/>
    <mergeCell ref="I28:K28"/>
    <mergeCell ref="R145:T145"/>
    <mergeCell ref="O118:Q118"/>
    <mergeCell ref="B142:H142"/>
    <mergeCell ref="I21:K21"/>
    <mergeCell ref="F2:F3"/>
    <mergeCell ref="H2:H3"/>
    <mergeCell ref="I92:T92"/>
    <mergeCell ref="I205:T205"/>
    <mergeCell ref="I118:K118"/>
    <mergeCell ref="L212:N212"/>
    <mergeCell ref="A212:H212"/>
    <mergeCell ref="B144:H144"/>
    <mergeCell ref="I142:T142"/>
    <mergeCell ref="O64:Q64"/>
    <mergeCell ref="I1:T1"/>
    <mergeCell ref="I64:K64"/>
    <mergeCell ref="B208:H208"/>
    <mergeCell ref="L49:N49"/>
    <mergeCell ref="O38:Q38"/>
    <mergeCell ref="O208:Q208"/>
    <mergeCell ref="B105:H105"/>
    <mergeCell ref="I119:T119"/>
    <mergeCell ref="B176:H176"/>
    <mergeCell ref="A213:H213"/>
    <mergeCell ref="B111:H111"/>
    <mergeCell ref="I65:T65"/>
    <mergeCell ref="B107:H107"/>
    <mergeCell ref="B175:H175"/>
    <mergeCell ref="I145:K145"/>
    <mergeCell ref="L28:N28"/>
    <mergeCell ref="A113:A146"/>
    <mergeCell ref="A183:A209"/>
    <mergeCell ref="I91:K91"/>
    <mergeCell ref="B28:H28"/>
    <mergeCell ref="B146:H146"/>
    <mergeCell ref="O49:Q49"/>
    <mergeCell ref="L180:N180"/>
    <mergeCell ref="O141:Q141"/>
    <mergeCell ref="L118:N118"/>
    <mergeCell ref="O212:Q212"/>
    <mergeCell ref="R208:T208"/>
    <mergeCell ref="B92:H92"/>
    <mergeCell ref="I22:T22"/>
    <mergeCell ref="B2:B3"/>
    <mergeCell ref="R21:T21"/>
    <mergeCell ref="I146:T146"/>
    <mergeCell ref="D2:D3"/>
    <mergeCell ref="L64:N64"/>
    <mergeCell ref="B20:H20"/>
    <mergeCell ref="B207:H207"/>
    <mergeCell ref="B204:H204"/>
    <mergeCell ref="B45:H45"/>
    <mergeCell ref="I181:T181"/>
    <mergeCell ref="I180:K180"/>
    <mergeCell ref="B109:H109"/>
    <mergeCell ref="I110:K110"/>
    <mergeCell ref="A148:A181"/>
    <mergeCell ref="I39:T39"/>
    <mergeCell ref="B46:H46"/>
    <mergeCell ref="I38:K38"/>
    <mergeCell ref="I29:T29"/>
    <mergeCell ref="B21:H21"/>
    <mergeCell ref="L145:N145"/>
    <mergeCell ref="B39:H39"/>
    <mergeCell ref="L110:N110"/>
    <mergeCell ref="O106:Q106"/>
    <mergeCell ref="B48:H48"/>
    <mergeCell ref="L91:N91"/>
    <mergeCell ref="B145:H145"/>
    <mergeCell ref="I208:K208"/>
    <mergeCell ref="B181:H181"/>
    <mergeCell ref="R212:T212"/>
    <mergeCell ref="O145:Q145"/>
    <mergeCell ref="R28:T28"/>
    <mergeCell ref="G2:G3"/>
    <mergeCell ref="I106:K106"/>
    <mergeCell ref="I212:K212"/>
    <mergeCell ref="R118:T118"/>
    <mergeCell ref="I209:T209"/>
    <mergeCell ref="B65:H65"/>
    <mergeCell ref="A4:A50"/>
    <mergeCell ref="L45:N45"/>
    <mergeCell ref="A1:H1"/>
    <mergeCell ref="B63:H63"/>
    <mergeCell ref="L38:N38"/>
    <mergeCell ref="B50:H50"/>
    <mergeCell ref="I177:T177"/>
    <mergeCell ref="B110:H110"/>
    <mergeCell ref="B203:H203"/>
    <mergeCell ref="B91:H91"/>
    <mergeCell ref="O110:Q110"/>
    <mergeCell ref="R106:T106"/>
    <mergeCell ref="A52:A111"/>
    <mergeCell ref="L176:N176"/>
    <mergeCell ref="O91:Q91"/>
    <mergeCell ref="B141:H141"/>
    <mergeCell ref="L21:N21"/>
    <mergeCell ref="B22:H22"/>
    <mergeCell ref="B117:H117"/>
    <mergeCell ref="R64:T64"/>
    <mergeCell ref="O28:Q28"/>
    <mergeCell ref="I204:K204"/>
    <mergeCell ref="B119:H119"/>
    <mergeCell ref="I46:T46"/>
    <mergeCell ref="I213:T213"/>
    <mergeCell ref="B38:H38"/>
    <mergeCell ref="O176:Q176"/>
    <mergeCell ref="O45:Q45"/>
    <mergeCell ref="B205:H205"/>
    <mergeCell ref="A211:H211"/>
    <mergeCell ref="L106:N106"/>
  </mergeCells>
  <dataValidations count="1">
    <dataValidation sqref="A1:H1" showDropDown="0" showInputMessage="1" showErrorMessage="1" allowBlank="1" type="list">
      <formula1>"初步接洽,需求沟通,方案报价,商务谈判,待签约,已签约未回款,已签约并回款,已丢单"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62"/>
  <sheetViews>
    <sheetView showGridLines="0" zoomScale="85" zoomScaleNormal="85" workbookViewId="0">
      <selection activeCell="I26" sqref="I26"/>
    </sheetView>
  </sheetViews>
  <sheetFormatPr defaultColWidth="9" defaultRowHeight="14.4"/>
  <cols>
    <col min="1" max="1" width="2.33333333333333" style="67" customWidth="1"/>
    <col min="2" max="2" width="9" customWidth="1"/>
    <col min="3" max="3" width="13" customWidth="1"/>
    <col min="4" max="4" width="17.3148148148148" customWidth="1"/>
    <col min="5" max="6" width="15.3796296296296" customWidth="1"/>
    <col min="7" max="7" width="16.4444444444444" customWidth="1"/>
    <col min="8" max="8" width="14.287037037037" customWidth="1"/>
    <col min="9" max="11" width="15.2222222222222" customWidth="1"/>
    <col min="12" max="12" width="14.1018518518519" customWidth="1"/>
    <col min="13" max="13" width="14.8240740740741" customWidth="1"/>
    <col min="14" max="15" width="16.7685185185185" customWidth="1"/>
    <col min="16" max="16" width="16.4444444444444" customWidth="1"/>
    <col min="17" max="17" width="2.33333333333333" style="67" customWidth="1"/>
    <col min="18" max="16384" width="9" customWidth="1"/>
  </cols>
  <sheetData>
    <row r="1" s="67" customFormat="1" ht="13" customHeight="1" spans="1:19">
      <c r="A1" s="70"/>
      <c r="B1" s="70"/>
      <c r="C1" s="71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ht="29" customHeight="1" spans="1:19">
      <c r="A2" s="70"/>
      <c r="B2" s="72"/>
      <c r="C2" s="73" t="s">
        <v>201</v>
      </c>
      <c r="Q2" s="70"/>
    </row>
    <row r="3" s="68" customFormat="1" ht="22" customHeight="1" spans="1:19">
      <c r="A3" s="70"/>
      <c r="B3" s="74" t="s">
        <v>8</v>
      </c>
      <c r="P3" s="75"/>
      <c r="Q3" s="70"/>
      <c r="S3"/>
    </row>
    <row r="4" s="68" customFormat="1" ht="22" customHeight="1" spans="1:19">
      <c r="A4" s="70"/>
      <c r="B4" s="76" t="s">
        <v>0</v>
      </c>
      <c r="C4" s="76" t="s">
        <v>2</v>
      </c>
      <c r="D4" s="77" t="s">
        <v>9</v>
      </c>
      <c r="E4" s="77" t="s">
        <v>10</v>
      </c>
      <c r="F4" s="77" t="s">
        <v>11</v>
      </c>
      <c r="G4" s="77" t="s">
        <v>12</v>
      </c>
      <c r="H4" s="77" t="s">
        <v>13</v>
      </c>
      <c r="I4" s="77" t="s">
        <v>14</v>
      </c>
      <c r="J4" s="77" t="s">
        <v>15</v>
      </c>
      <c r="K4" s="77" t="s">
        <v>16</v>
      </c>
      <c r="L4" s="77" t="s">
        <v>17</v>
      </c>
      <c r="M4" s="77" t="s">
        <v>18</v>
      </c>
      <c r="N4" s="77" t="s">
        <v>19</v>
      </c>
      <c r="O4" s="77" t="s">
        <v>20</v>
      </c>
      <c r="P4" s="74" t="s">
        <v>202</v>
      </c>
      <c r="Q4" s="70"/>
      <c r="S4"/>
    </row>
    <row r="5" s="68" customFormat="1" ht="22" customHeight="1" spans="1:19">
      <c r="A5" s="70"/>
      <c r="B5" s="68" t="s">
        <v>203</v>
      </c>
      <c r="C5" s="32" t="s">
        <v>204</v>
      </c>
      <c r="D5" s="78">
        <f>SUMIF('展示用-2026年签约数据汇总（0702统计）'!C:C,C5,'展示用-2026年签约数据汇总（0702统计）'!I:I)</f>
        <v>0</v>
      </c>
      <c r="E5" s="78">
        <f>SUMIF('展示用-2026年签约数据汇总（0702统计）'!C:C,C5,'展示用-2026年签约数据汇总（0702统计）'!J:J)</f>
        <v>0</v>
      </c>
      <c r="F5" s="78">
        <f>SUMIF('展示用-2026年签约数据汇总（0702统计）'!C:C,C5,'展示用-2026年签约数据汇总（0702统计）'!K:K)</f>
        <v>0</v>
      </c>
      <c r="G5" s="78">
        <f>SUMIF('展示用-2026年签约数据汇总（0702统计）'!C:C,C5,'展示用-2026年签约数据汇总（0702统计）'!L:L)</f>
        <v>0</v>
      </c>
      <c r="H5" s="78">
        <f>SUMIF('展示用-2026年签约数据汇总（0702统计）'!C:C,C5,'展示用-2026年签约数据汇总（0702统计）'!M:M)</f>
        <v>0</v>
      </c>
      <c r="I5" s="78">
        <f>SUMIF('展示用-2026年签约数据汇总（0702统计）'!C:C,C5,'展示用-2026年签约数据汇总（0702统计）'!N:N)</f>
        <v>0</v>
      </c>
      <c r="J5" s="78"/>
      <c r="K5" s="78"/>
      <c r="L5" s="78"/>
      <c r="M5" s="78"/>
      <c r="N5" s="78"/>
      <c r="O5" s="78"/>
      <c r="P5" s="79">
        <f t="shared" ref="P5:P12" si="0">SUM(D5:O5)</f>
        <v>0</v>
      </c>
      <c r="Q5" s="70"/>
      <c r="S5"/>
    </row>
    <row r="6" s="68" customFormat="1" ht="22" customHeight="1" spans="1:19">
      <c r="A6" s="70"/>
      <c r="C6" s="32" t="s">
        <v>205</v>
      </c>
      <c r="D6" s="78" t="s">
        <v>206</v>
      </c>
      <c r="E6" s="78" t="s">
        <v>206</v>
      </c>
      <c r="F6" s="78" t="s">
        <v>206</v>
      </c>
      <c r="G6" s="78" t="s">
        <v>206</v>
      </c>
      <c r="H6" s="78" t="s">
        <v>206</v>
      </c>
      <c r="I6" s="78">
        <f>SUMIF('展示用-2026年签约数据汇总（0702统计）'!C:C,C6,'展示用-2026年签约数据汇总（0702统计）'!N:N)</f>
        <v>0</v>
      </c>
      <c r="J6" s="78"/>
      <c r="K6" s="78"/>
      <c r="L6" s="78"/>
      <c r="M6" s="78"/>
      <c r="N6" s="78"/>
      <c r="O6" s="78"/>
      <c r="P6" s="79">
        <f t="shared" si="0"/>
        <v>0</v>
      </c>
      <c r="Q6" s="70"/>
      <c r="S6"/>
    </row>
    <row r="7" s="68" customFormat="1" ht="22" customHeight="1" spans="1:19">
      <c r="A7" s="70"/>
      <c r="C7" s="32" t="s">
        <v>207</v>
      </c>
      <c r="D7" s="78" t="s">
        <v>206</v>
      </c>
      <c r="E7" s="78" t="s">
        <v>206</v>
      </c>
      <c r="F7" s="78" t="s">
        <v>206</v>
      </c>
      <c r="G7" s="78" t="s">
        <v>206</v>
      </c>
      <c r="H7" s="78" t="s">
        <v>206</v>
      </c>
      <c r="I7" s="78">
        <f>SUMIF('展示用-2026年签约数据汇总（0702统计）'!C:C,C7,'展示用-2026年签约数据汇总（0702统计）'!N:N)</f>
        <v>0</v>
      </c>
      <c r="J7" s="78"/>
      <c r="K7" s="78"/>
      <c r="L7" s="78"/>
      <c r="M7" s="78"/>
      <c r="N7" s="78"/>
      <c r="O7" s="78"/>
      <c r="P7" s="79">
        <f t="shared" si="0"/>
        <v>0</v>
      </c>
      <c r="Q7" s="70"/>
      <c r="S7"/>
    </row>
    <row r="8" s="68" customFormat="1" ht="23" hidden="1" customHeight="1" spans="1:19">
      <c r="A8" s="70"/>
      <c r="C8" s="32" t="s">
        <v>208</v>
      </c>
      <c r="D8" s="78">
        <f>SUMIF('展示用-2026年签约数据汇总（0702统计）'!C:C,C8,'展示用-2026年签约数据汇总（0702统计）'!I:I)</f>
        <v>0</v>
      </c>
      <c r="E8" s="78">
        <f>SUMIF('展示用-2026年签约数据汇总（0702统计）'!C:C,C8,'展示用-2026年签约数据汇总（0702统计）'!J:J)</f>
        <v>0</v>
      </c>
      <c r="F8" s="78">
        <f>SUMIF('展示用-2026年签约数据汇总（0702统计）'!C:C,C8,'展示用-2026年签约数据汇总（0702统计）'!K:K)</f>
        <v>0</v>
      </c>
      <c r="G8" s="78">
        <f>SUMIF('展示用-2026年签约数据汇总（0702统计）'!C:C,C8,'展示用-2026年签约数据汇总（0702统计）'!L:L)</f>
        <v>0</v>
      </c>
      <c r="H8" s="78">
        <f>SUMIF('展示用-2026年签约数据汇总（0702统计）'!C:C,C8,'展示用-2026年签约数据汇总（0702统计）'!M:M)</f>
        <v>0</v>
      </c>
      <c r="I8" s="78">
        <f>SUMIF('展示用-2026年签约数据汇总（0702统计）'!C:C,C8,'展示用-2026年签约数据汇总（0702统计）'!N:N)</f>
        <v>0</v>
      </c>
      <c r="J8" s="80"/>
      <c r="K8" s="80"/>
      <c r="L8" s="80"/>
      <c r="M8" s="80"/>
      <c r="N8" s="80"/>
      <c r="O8" s="80"/>
      <c r="P8" s="79">
        <f t="shared" si="0"/>
        <v>0</v>
      </c>
      <c r="Q8" s="70"/>
      <c r="S8"/>
    </row>
    <row r="9" s="68" customFormat="1" ht="23" hidden="1" customHeight="1" spans="1:19">
      <c r="A9" s="70"/>
      <c r="C9" s="32" t="s">
        <v>209</v>
      </c>
      <c r="D9" s="78">
        <f>SUMIF('展示用-2026年签约数据汇总（0702统计）'!C:C,C9,'展示用-2026年签约数据汇总（0702统计）'!I:I)</f>
        <v>0</v>
      </c>
      <c r="E9" s="78">
        <f>SUMIF('展示用-2026年签约数据汇总（0702统计）'!C:C,C9,'展示用-2026年签约数据汇总（0702统计）'!J:J)</f>
        <v>0</v>
      </c>
      <c r="F9" s="78">
        <f>SUMIF('展示用-2026年签约数据汇总（0702统计）'!C:C,C9,'展示用-2026年签约数据汇总（0702统计）'!K:K)</f>
        <v>0</v>
      </c>
      <c r="G9" s="78">
        <f>SUMIF('展示用-2026年签约数据汇总（0702统计）'!C:C,C9,'展示用-2026年签约数据汇总（0702统计）'!L:L)</f>
        <v>0</v>
      </c>
      <c r="H9" s="78">
        <f>SUMIF('展示用-2026年签约数据汇总（0702统计）'!C:C,C9,'展示用-2026年签约数据汇总（0702统计）'!M:M)</f>
        <v>0</v>
      </c>
      <c r="I9" s="78">
        <f>SUMIF('展示用-2026年签约数据汇总（0702统计）'!C:C,C9,'展示用-2026年签约数据汇总（0702统计）'!N:N)</f>
        <v>0</v>
      </c>
      <c r="J9" s="80"/>
      <c r="K9" s="80"/>
      <c r="L9" s="80"/>
      <c r="M9" s="80"/>
      <c r="N9" s="80"/>
      <c r="O9" s="80"/>
      <c r="P9" s="79">
        <f t="shared" si="0"/>
        <v>0</v>
      </c>
      <c r="Q9" s="70"/>
      <c r="S9"/>
    </row>
    <row r="10" s="68" customFormat="1" ht="23" hidden="1" customHeight="1" spans="1:19">
      <c r="A10" s="70"/>
      <c r="C10" s="32" t="s">
        <v>210</v>
      </c>
      <c r="D10" s="78" t="s">
        <v>206</v>
      </c>
      <c r="E10" s="78" t="s">
        <v>206</v>
      </c>
      <c r="F10" s="78" t="s">
        <v>206</v>
      </c>
      <c r="G10" s="78">
        <f>SUMIF('展示用-2026年签约数据汇总（0702统计）'!C:C,C10,'展示用-2026年签约数据汇总（0702统计）'!L:L)</f>
        <v>0</v>
      </c>
      <c r="H10" s="78">
        <f>SUMIF('展示用-2026年签约数据汇总（0702统计）'!C:C,C10,'展示用-2026年签约数据汇总（0702统计）'!M:M)</f>
        <v>0</v>
      </c>
      <c r="I10" s="78">
        <f>SUMIF('展示用-2026年签约数据汇总（0702统计）'!C:C,C10,'展示用-2026年签约数据汇总（0702统计）'!N:N)</f>
        <v>0</v>
      </c>
      <c r="J10" s="80"/>
      <c r="K10" s="80"/>
      <c r="L10" s="80"/>
      <c r="M10" s="80"/>
      <c r="N10" s="80"/>
      <c r="O10" s="80"/>
      <c r="P10" s="79">
        <f t="shared" si="0"/>
        <v>0</v>
      </c>
      <c r="Q10" s="70"/>
      <c r="S10"/>
    </row>
    <row r="11" s="68" customFormat="1" ht="23" hidden="1" customHeight="1" spans="1:19">
      <c r="A11" s="70"/>
      <c r="C11" s="32" t="s">
        <v>211</v>
      </c>
      <c r="D11" s="78" t="s">
        <v>206</v>
      </c>
      <c r="E11" s="78" t="s">
        <v>206</v>
      </c>
      <c r="F11" s="78" t="s">
        <v>206</v>
      </c>
      <c r="G11" s="78">
        <f>SUMIF('展示用-2026年签约数据汇总（0702统计）'!C:C,C11,'展示用-2026年签约数据汇总（0702统计）'!L:L)</f>
        <v>0</v>
      </c>
      <c r="H11" s="78">
        <f>SUMIF('展示用-2026年签约数据汇总（0702统计）'!C:C,C11,'展示用-2026年签约数据汇总（0702统计）'!M:M)</f>
        <v>0</v>
      </c>
      <c r="I11" s="78">
        <f>SUMIF('展示用-2026年签约数据汇总（0702统计）'!C:C,C11,'展示用-2026年签约数据汇总（0702统计）'!N:N)</f>
        <v>0</v>
      </c>
      <c r="J11" s="80"/>
      <c r="K11" s="80"/>
      <c r="L11" s="80"/>
      <c r="M11" s="80"/>
      <c r="N11" s="80"/>
      <c r="O11" s="80"/>
      <c r="P11" s="79">
        <f t="shared" si="0"/>
        <v>0</v>
      </c>
      <c r="Q11" s="70"/>
      <c r="S11"/>
    </row>
    <row r="12" s="68" customFormat="1" ht="23" hidden="1" customHeight="1" spans="1:19">
      <c r="A12" s="70"/>
      <c r="C12" s="32" t="s">
        <v>212</v>
      </c>
      <c r="D12" s="78" t="s">
        <v>206</v>
      </c>
      <c r="E12" s="78" t="s">
        <v>206</v>
      </c>
      <c r="F12" s="78" t="s">
        <v>206</v>
      </c>
      <c r="G12" s="78">
        <f>SUMIF('展示用-2026年签约数据汇总（0702统计）'!C:C,C12,'展示用-2026年签约数据汇总（0702统计）'!L:L)</f>
        <v>0</v>
      </c>
      <c r="H12" s="78">
        <f>SUMIF('展示用-2026年签约数据汇总（0702统计）'!C:C,C12,'展示用-2026年签约数据汇总（0702统计）'!M:M)</f>
        <v>0</v>
      </c>
      <c r="I12" s="78">
        <f>SUMIF('展示用-2026年签约数据汇总（0702统计）'!C:C,C12,'展示用-2026年签约数据汇总（0702统计）'!N:N)</f>
        <v>0</v>
      </c>
      <c r="J12" s="80"/>
      <c r="K12" s="80"/>
      <c r="L12" s="80"/>
      <c r="M12" s="80"/>
      <c r="N12" s="80"/>
      <c r="O12" s="80"/>
      <c r="P12" s="79">
        <f t="shared" si="0"/>
        <v>0</v>
      </c>
      <c r="Q12" s="70"/>
      <c r="S12"/>
    </row>
    <row r="13" s="68" customFormat="1" ht="23" customHeight="1" spans="1:19">
      <c r="A13" s="70"/>
      <c r="C13" s="32" t="s">
        <v>213</v>
      </c>
      <c r="D13" s="78"/>
      <c r="E13" s="78"/>
      <c r="F13" s="78"/>
      <c r="G13" s="78"/>
      <c r="H13" s="78"/>
      <c r="I13" s="78"/>
      <c r="J13" s="80"/>
      <c r="K13" s="80"/>
      <c r="L13" s="80"/>
      <c r="M13" s="80"/>
      <c r="N13" s="80"/>
      <c r="O13" s="80"/>
      <c r="P13" s="79"/>
      <c r="Q13" s="70"/>
      <c r="S13"/>
    </row>
    <row r="14" s="68" customFormat="1" ht="23" customHeight="1" spans="1:19">
      <c r="A14" s="70"/>
      <c r="C14" s="32" t="s">
        <v>214</v>
      </c>
      <c r="D14" s="78"/>
      <c r="E14" s="78"/>
      <c r="F14" s="78"/>
      <c r="G14" s="78"/>
      <c r="H14" s="78"/>
      <c r="I14" s="78"/>
      <c r="J14" s="80"/>
      <c r="K14" s="80"/>
      <c r="L14" s="80"/>
      <c r="M14" s="80"/>
      <c r="N14" s="80"/>
      <c r="O14" s="80"/>
      <c r="P14" s="79"/>
      <c r="Q14" s="70"/>
      <c r="S14"/>
    </row>
    <row r="15" s="68" customFormat="1" ht="23" customHeight="1" spans="1:19">
      <c r="A15" s="70"/>
      <c r="B15" s="68" t="s">
        <v>21</v>
      </c>
      <c r="C15" s="32" t="s">
        <v>22</v>
      </c>
      <c r="D15" s="78">
        <f>SUMIF('展示用-2026年签约数据汇总（0702统计）'!C:C,C15,'展示用-2026年签约数据汇总（0702统计）'!I:I)</f>
        <v>0</v>
      </c>
      <c r="E15" s="78">
        <f>SUMIF('展示用-2026年签约数据汇总（0702统计）'!C:C,C15,'展示用-2026年签约数据汇总（0702统计）'!J:J)</f>
        <v>18700</v>
      </c>
      <c r="F15" s="78">
        <f>SUMIF('展示用-2026年签约数据汇总（0702统计）'!C:C,C15,'展示用-2026年签约数据汇总（0702统计）'!K:K)</f>
        <v>170000</v>
      </c>
      <c r="G15" s="78">
        <f>SUMIF('展示用-2026年签约数据汇总（0702统计）'!C:C,C15,'展示用-2026年签约数据汇总（0702统计）'!L:L)</f>
        <v>0</v>
      </c>
      <c r="H15" s="78">
        <f>SUMIF('展示用-2026年签约数据汇总（0702统计）'!C:C,C15,'展示用-2026年签约数据汇总（0702统计）'!M:M)</f>
        <v>0</v>
      </c>
      <c r="I15" s="78">
        <f>SUMIF('展示用-2026年签约数据汇总（0702统计）'!C:C,C15,'展示用-2026年签约数据汇总（0702统计）'!N:N)</f>
        <v>0</v>
      </c>
      <c r="J15" s="80"/>
      <c r="K15" s="80"/>
      <c r="L15" s="80"/>
      <c r="M15" s="80"/>
      <c r="N15" s="80"/>
      <c r="O15" s="80"/>
      <c r="P15" s="79">
        <f t="shared" ref="P15:P25" si="1">SUM(D15:O15)</f>
        <v>188700</v>
      </c>
      <c r="Q15" s="70"/>
      <c r="S15"/>
    </row>
    <row r="16" s="68" customFormat="1" ht="23" customHeight="1" spans="1:19">
      <c r="A16" s="70"/>
      <c r="C16" s="32" t="s">
        <v>215</v>
      </c>
      <c r="D16" s="78">
        <f>SUMIF('展示用-2026年签约数据汇总（0702统计）'!C:C,C16,'展示用-2026年签约数据汇总（0702统计）'!I:I)</f>
        <v>0</v>
      </c>
      <c r="E16" s="78">
        <f>SUMIF('展示用-2026年签约数据汇总（0702统计）'!C:C,C16,'展示用-2026年签约数据汇总（0702统计）'!J:J)</f>
        <v>0</v>
      </c>
      <c r="F16" s="78">
        <f>SUMIF('展示用-2026年签约数据汇总（0702统计）'!C:C,C16,'展示用-2026年签约数据汇总（0702统计）'!K:K)</f>
        <v>0</v>
      </c>
      <c r="G16" s="78">
        <f>SUMIF('展示用-2026年签约数据汇总（0702统计）'!C:C,C16,'展示用-2026年签约数据汇总（0702统计）'!L:L)</f>
        <v>0</v>
      </c>
      <c r="H16" s="78">
        <f>SUMIF('展示用-2026年签约数据汇总（0702统计）'!C:C,C16,'展示用-2026年签约数据汇总（0702统计）'!M:M)</f>
        <v>0</v>
      </c>
      <c r="I16" s="78">
        <f>SUMIF('展示用-2026年签约数据汇总（0702统计）'!C:C,C16,'展示用-2026年签约数据汇总（0702统计）'!N:N)</f>
        <v>0</v>
      </c>
      <c r="J16" s="80"/>
      <c r="K16" s="80"/>
      <c r="L16" s="80"/>
      <c r="M16" s="80"/>
      <c r="N16" s="80"/>
      <c r="O16" s="80"/>
      <c r="P16" s="79">
        <f t="shared" si="1"/>
        <v>0</v>
      </c>
      <c r="Q16" s="70"/>
      <c r="S16"/>
    </row>
    <row r="17" s="68" customFormat="1" ht="23" customHeight="1" spans="1:19">
      <c r="A17" s="70"/>
      <c r="C17" s="32" t="s">
        <v>28</v>
      </c>
      <c r="D17" s="78">
        <f>SUMIF('展示用-2026年签约数据汇总（0702统计）'!C:C,C17,'展示用-2026年签约数据汇总（0702统计）'!I:I)</f>
        <v>0</v>
      </c>
      <c r="E17" s="78">
        <f>SUMIF('展示用-2026年签约数据汇总（0702统计）'!C:C,C17,'展示用-2026年签约数据汇总（0702统计）'!J:J)</f>
        <v>85000</v>
      </c>
      <c r="F17" s="78">
        <f>SUMIF('展示用-2026年签约数据汇总（0702统计）'!C:C,C17,'展示用-2026年签约数据汇总（0702统计）'!K:K)</f>
        <v>0</v>
      </c>
      <c r="G17" s="78">
        <f>SUMIF('展示用-2026年签约数据汇总（0702统计）'!C:C,C17,'展示用-2026年签约数据汇总（0702统计）'!L:L)</f>
        <v>0</v>
      </c>
      <c r="H17" s="78">
        <f>SUMIF('展示用-2026年签约数据汇总（0702统计）'!C:C,C17,'展示用-2026年签约数据汇总（0702统计）'!M:M)</f>
        <v>0</v>
      </c>
      <c r="I17" s="78">
        <f>SUMIF('展示用-2026年签约数据汇总（0702统计）'!C:C,C17,'展示用-2026年签约数据汇总（0702统计）'!N:N)</f>
        <v>0</v>
      </c>
      <c r="J17" s="80"/>
      <c r="K17" s="80"/>
      <c r="L17" s="80"/>
      <c r="M17" s="80"/>
      <c r="N17" s="80"/>
      <c r="O17" s="80"/>
      <c r="P17" s="79">
        <f t="shared" si="1"/>
        <v>85000</v>
      </c>
      <c r="Q17" s="70"/>
      <c r="S17"/>
    </row>
    <row r="18" s="68" customFormat="1" ht="23" customHeight="1" spans="1:19">
      <c r="A18" s="70"/>
      <c r="C18" s="32" t="s">
        <v>29</v>
      </c>
      <c r="D18" s="78">
        <f>SUMIF('展示用-2026年签约数据汇总（0702统计）'!C:C,C18,'展示用-2026年签约数据汇总（0702统计）'!I:I)</f>
        <v>0</v>
      </c>
      <c r="E18" s="78">
        <f>SUMIF('展示用-2026年签约数据汇总（0702统计）'!C:C,C18,'展示用-2026年签约数据汇总（0702统计）'!J:J)</f>
        <v>0</v>
      </c>
      <c r="F18" s="78">
        <f>SUMIF('展示用-2026年签约数据汇总（0702统计）'!C:C,C18,'展示用-2026年签约数据汇总（0702统计）'!K:K)</f>
        <v>0</v>
      </c>
      <c r="G18" s="78">
        <f>SUMIF('展示用-2026年签约数据汇总（0702统计）'!C:C,C18,'展示用-2026年签约数据汇总（0702统计）'!L:L)</f>
        <v>0</v>
      </c>
      <c r="H18" s="78">
        <f>SUMIF('展示用-2026年签约数据汇总（0702统计）'!C:C,C18,'展示用-2026年签约数据汇总（0702统计）'!M:M)</f>
        <v>0</v>
      </c>
      <c r="I18" s="78">
        <f>SUMIF('展示用-2026年签约数据汇总（0702统计）'!C:C,C18,'展示用-2026年签约数据汇总（0702统计）'!N:N)</f>
        <v>135000</v>
      </c>
      <c r="J18" s="80"/>
      <c r="K18" s="80"/>
      <c r="L18" s="80"/>
      <c r="M18" s="80"/>
      <c r="N18" s="80"/>
      <c r="O18" s="80"/>
      <c r="P18" s="79">
        <f t="shared" si="1"/>
        <v>135000</v>
      </c>
      <c r="Q18" s="70"/>
    </row>
    <row r="19" s="68" customFormat="1" ht="23" customHeight="1" spans="1:19">
      <c r="A19" s="70"/>
      <c r="B19" s="68" t="s">
        <v>216</v>
      </c>
      <c r="C19" s="32" t="s">
        <v>217</v>
      </c>
      <c r="D19" s="78">
        <f>SUMIF('展示用-2026年签约数据汇总（0702统计）'!C:C,C19,'展示用-2026年签约数据汇总（0702统计）'!I:I)</f>
        <v>0</v>
      </c>
      <c r="E19" s="78">
        <f>SUMIF('展示用-2026年签约数据汇总（0702统计）'!C:C,C19,'展示用-2026年签约数据汇总（0702统计）'!J:J)</f>
        <v>0</v>
      </c>
      <c r="F19" s="78">
        <f>SUMIF('展示用-2026年签约数据汇总（0702统计）'!C:C,C19,'展示用-2026年签约数据汇总（0702统计）'!K:K)</f>
        <v>0</v>
      </c>
      <c r="G19" s="78">
        <f>SUMIF('展示用-2026年签约数据汇总（0702统计）'!C:C,C19,'展示用-2026年签约数据汇总（0702统计）'!L:L)</f>
        <v>0</v>
      </c>
      <c r="H19" s="78">
        <f>SUMIF('展示用-2026年签约数据汇总（0702统计）'!C:C,C19,'展示用-2026年签约数据汇总（0702统计）'!M:M)</f>
        <v>0</v>
      </c>
      <c r="I19" s="78">
        <f>SUMIF('展示用-2026年签约数据汇总（0702统计）'!C:C,C19,'展示用-2026年签约数据汇总（0702统计）'!N:N)</f>
        <v>0</v>
      </c>
      <c r="J19" s="80"/>
      <c r="K19" s="80"/>
      <c r="L19" s="80"/>
      <c r="M19" s="80"/>
      <c r="N19" s="80"/>
      <c r="O19" s="80"/>
      <c r="P19" s="79">
        <f t="shared" si="1"/>
        <v>0</v>
      </c>
      <c r="Q19" s="70"/>
    </row>
    <row r="20" ht="23" hidden="1" customHeight="1" spans="1:19">
      <c r="A20" s="70"/>
      <c r="C20" s="32" t="s">
        <v>218</v>
      </c>
      <c r="D20" s="78">
        <f>SUMIF('展示用-2026年签约数据汇总（0702统计）'!C:C,C20,'展示用-2026年签约数据汇总（0702统计）'!I:I)</f>
        <v>0</v>
      </c>
      <c r="E20" s="78">
        <f>SUMIF('展示用-2026年签约数据汇总（0702统计）'!C:C,C20,'展示用-2026年签约数据汇总（0702统计）'!J:J)</f>
        <v>0</v>
      </c>
      <c r="F20" s="78">
        <f>SUMIF('展示用-2026年签约数据汇总（0702统计）'!C:C,C20,'展示用-2026年签约数据汇总（0702统计）'!K:K)</f>
        <v>0</v>
      </c>
      <c r="G20" s="78">
        <f>SUMIF('展示用-2026年签约数据汇总（0702统计）'!C:C,C20,'展示用-2026年签约数据汇总（0702统计）'!L:L)</f>
        <v>0</v>
      </c>
      <c r="H20" s="78">
        <f>SUMIF('展示用-2026年签约数据汇总（0702统计）'!C:C,C20,'展示用-2026年签约数据汇总（0702统计）'!M:M)</f>
        <v>0</v>
      </c>
      <c r="I20" s="78">
        <f>SUMIF('展示用-2026年签约数据汇总（0702统计）'!C:C,C20,'展示用-2026年签约数据汇总（0702统计）'!N:N)</f>
        <v>0</v>
      </c>
      <c r="J20" s="81"/>
      <c r="K20" s="81"/>
      <c r="L20" s="80"/>
      <c r="M20" s="80"/>
      <c r="N20" s="80"/>
      <c r="O20" s="80"/>
      <c r="P20" s="79">
        <f t="shared" si="1"/>
        <v>0</v>
      </c>
      <c r="Q20" s="70"/>
    </row>
    <row r="21" customFormat="1" ht="23" hidden="1" customHeight="1" spans="1:19">
      <c r="A21" s="70"/>
      <c r="C21" s="32" t="s">
        <v>219</v>
      </c>
      <c r="D21" s="78">
        <f>SUMIF('展示用-2026年签约数据汇总（0702统计）'!C:C,C21,'展示用-2026年签约数据汇总（0702统计）'!I:I)</f>
        <v>0</v>
      </c>
      <c r="E21" s="78">
        <f>SUMIF('展示用-2026年签约数据汇总（0702统计）'!C:C,C21,'展示用-2026年签约数据汇总（0702统计）'!J:J)</f>
        <v>0</v>
      </c>
      <c r="F21" s="78">
        <f>SUMIF('展示用-2026年签约数据汇总（0702统计）'!C:C,C21,'展示用-2026年签约数据汇总（0702统计）'!K:K)</f>
        <v>0</v>
      </c>
      <c r="G21" s="78">
        <f>SUMIF('展示用-2026年签约数据汇总（0702统计）'!C:C,C21,'展示用-2026年签约数据汇总（0702统计）'!L:L)</f>
        <v>0</v>
      </c>
      <c r="H21" s="78">
        <f>SUMIF('展示用-2026年签约数据汇总（0702统计）'!C:C,C21,'展示用-2026年签约数据汇总（0702统计）'!M:M)</f>
        <v>0</v>
      </c>
      <c r="I21" s="78">
        <f>SUMIF('展示用-2026年签约数据汇总（0702统计）'!C:C,C21,'展示用-2026年签约数据汇总（0702统计）'!N:N)</f>
        <v>0</v>
      </c>
      <c r="J21" s="80"/>
      <c r="K21" s="80"/>
      <c r="L21" s="80"/>
      <c r="M21" s="80"/>
      <c r="N21" s="80"/>
      <c r="O21" s="80"/>
      <c r="P21" s="79">
        <f t="shared" si="1"/>
        <v>0</v>
      </c>
      <c r="Q21" s="70"/>
    </row>
    <row r="22" customFormat="1" ht="23" hidden="1" customHeight="1" spans="1:19">
      <c r="A22" s="70"/>
      <c r="C22" s="32" t="s">
        <v>220</v>
      </c>
      <c r="D22" s="78">
        <f>SUMIF('展示用-2026年签约数据汇总（0702统计）'!C:C,C22,'展示用-2026年签约数据汇总（0702统计）'!I:I)</f>
        <v>0</v>
      </c>
      <c r="E22" s="78">
        <f>SUMIF('展示用-2026年签约数据汇总（0702统计）'!C:C,C22,'展示用-2026年签约数据汇总（0702统计）'!J:J)</f>
        <v>0</v>
      </c>
      <c r="F22" s="78">
        <f>SUMIF('展示用-2026年签约数据汇总（0702统计）'!C:C,C22,'展示用-2026年签约数据汇总（0702统计）'!K:K)</f>
        <v>0</v>
      </c>
      <c r="G22" s="78">
        <f>SUMIF('展示用-2026年签约数据汇总（0702统计）'!C:C,C22,'展示用-2026年签约数据汇总（0702统计）'!L:L)</f>
        <v>0</v>
      </c>
      <c r="H22" s="78">
        <f>SUMIF('展示用-2026年签约数据汇总（0702统计）'!C:C,C22,'展示用-2026年签约数据汇总（0702统计）'!M:M)</f>
        <v>0</v>
      </c>
      <c r="I22" s="78">
        <f>SUMIF('展示用-2026年签约数据汇总（0702统计）'!C:C,C22,'展示用-2026年签约数据汇总（0702统计）'!N:N)</f>
        <v>0</v>
      </c>
      <c r="J22" s="80"/>
      <c r="K22" s="80"/>
      <c r="L22" s="80"/>
      <c r="M22" s="80"/>
      <c r="N22" s="80"/>
      <c r="O22" s="80"/>
      <c r="P22" s="79">
        <f t="shared" si="1"/>
        <v>0</v>
      </c>
      <c r="Q22" s="70"/>
    </row>
    <row r="23" customFormat="1" ht="23" customHeight="1" spans="1:19">
      <c r="A23" s="70"/>
      <c r="B23" s="68" t="s">
        <v>125</v>
      </c>
      <c r="C23" s="32" t="s">
        <v>126</v>
      </c>
      <c r="D23" s="78">
        <f>SUMIF('展示用-2026年签约数据汇总（0702统计）'!C:C,C23,'展示用-2026年签约数据汇总（0702统计）'!I:I)</f>
        <v>152000</v>
      </c>
      <c r="E23" s="78">
        <f>SUMIF('展示用-2026年签约数据汇总（0702统计）'!C:C,C23,'展示用-2026年签约数据汇总（0702统计）'!J:J)</f>
        <v>0</v>
      </c>
      <c r="F23" s="78">
        <f>SUMIF('展示用-2026年签约数据汇总（0702统计）'!C:C,C23,'展示用-2026年签约数据汇总（0702统计）'!K:K)</f>
        <v>0</v>
      </c>
      <c r="G23" s="78">
        <f>SUMIF('展示用-2026年签约数据汇总（0702统计）'!C:C,C23,'展示用-2026年签约数据汇总（0702统计）'!L:L)</f>
        <v>0</v>
      </c>
      <c r="H23" s="78">
        <f>SUMIF('展示用-2026年签约数据汇总（0702统计）'!C:C,C23,'展示用-2026年签约数据汇总（0702统计）'!M:M)</f>
        <v>0</v>
      </c>
      <c r="I23" s="78">
        <f>SUMIF('展示用-2026年签约数据汇总（0702统计）'!C:C,C23,'展示用-2026年签约数据汇总（0702统计）'!N:N)</f>
        <v>0</v>
      </c>
      <c r="J23" s="80"/>
      <c r="K23" s="80"/>
      <c r="L23" s="80"/>
      <c r="M23" s="80"/>
      <c r="N23" s="80"/>
      <c r="O23" s="80"/>
      <c r="P23" s="79">
        <f t="shared" si="1"/>
        <v>152000</v>
      </c>
      <c r="Q23" s="70"/>
    </row>
    <row r="24" customFormat="1" ht="23" hidden="1" customHeight="1" spans="1:19">
      <c r="A24" s="70"/>
      <c r="B24" s="68" t="s">
        <v>221</v>
      </c>
      <c r="C24" s="32" t="s">
        <v>222</v>
      </c>
      <c r="D24" s="78">
        <f>SUMIF('展示用-2026年签约数据汇总（0702统计）'!C:C,C24,'展示用-2026年签约数据汇总（0702统计）'!I:I)</f>
        <v>0</v>
      </c>
      <c r="E24" s="78">
        <f>SUMIF('展示用-2026年签约数据汇总（0702统计）'!C:C,C24,'展示用-2026年签约数据汇总（0702统计）'!J:J)</f>
        <v>0</v>
      </c>
      <c r="F24" s="78">
        <f>SUMIF('展示用-2026年签约数据汇总（0702统计）'!C:C,C24,'展示用-2026年签约数据汇总（0702统计）'!K:K)</f>
        <v>0</v>
      </c>
      <c r="G24" s="78">
        <f>SUMIF('展示用-2026年签约数据汇总（0702统计）'!C:C,C24,'展示用-2026年签约数据汇总（0702统计）'!L:L)</f>
        <v>0</v>
      </c>
      <c r="H24" s="78">
        <f>SUMIF('展示用-2026年签约数据汇总（0702统计）'!C:C,C24,'展示用-2026年签约数据汇总（0702统计）'!M:M)</f>
        <v>0</v>
      </c>
      <c r="I24" s="78">
        <f>SUMIF('展示用-2026年签约数据汇总（0702统计）'!C:C,C24,'展示用-2026年签约数据汇总（0702统计）'!N:N)</f>
        <v>0</v>
      </c>
      <c r="J24" s="80"/>
      <c r="K24" s="80"/>
      <c r="L24" s="80"/>
      <c r="M24" s="80"/>
      <c r="N24" s="80"/>
      <c r="O24" s="80"/>
      <c r="P24" s="79">
        <f t="shared" si="1"/>
        <v>0</v>
      </c>
      <c r="Q24" s="70"/>
    </row>
    <row r="25" s="68" customFormat="1" ht="23" hidden="1" customHeight="1" spans="1:19">
      <c r="A25" s="70"/>
      <c r="B25" s="82" t="s">
        <v>223</v>
      </c>
      <c r="C25" s="32" t="s">
        <v>224</v>
      </c>
      <c r="D25" s="78">
        <f>SUMIF('展示用-2026年签约数据汇总（0702统计）'!C:C,C25,'展示用-2026年签约数据汇总（0702统计）'!I:I)</f>
        <v>0</v>
      </c>
      <c r="E25" s="78">
        <f>SUMIF('展示用-2026年签约数据汇总（0702统计）'!C:C,C25,'展示用-2026年签约数据汇总（0702统计）'!J:J)</f>
        <v>0</v>
      </c>
      <c r="F25" s="78">
        <f>SUMIF('展示用-2026年签约数据汇总（0702统计）'!C:C,C25,'展示用-2026年签约数据汇总（0702统计）'!K:K)</f>
        <v>0</v>
      </c>
      <c r="G25" s="78">
        <f>SUMIF('展示用-2026年签约数据汇总（0702统计）'!C:C,C25,'展示用-2026年签约数据汇总（0702统计）'!L:L)</f>
        <v>0</v>
      </c>
      <c r="H25" s="78">
        <f>SUMIF('展示用-2026年签约数据汇总（0702统计）'!C:C,C25,'展示用-2026年签约数据汇总（0702统计）'!M:M)</f>
        <v>0</v>
      </c>
      <c r="I25" s="78">
        <f>SUMIF('展示用-2026年签约数据汇总（0702统计）'!C:C,C25,'展示用-2026年签约数据汇总（0702统计）'!N:N)</f>
        <v>0</v>
      </c>
      <c r="J25" s="80"/>
      <c r="K25" s="80"/>
      <c r="L25" s="80"/>
      <c r="M25" s="80"/>
      <c r="N25" s="80"/>
      <c r="O25" s="80"/>
      <c r="P25" s="79">
        <f t="shared" si="1"/>
        <v>0</v>
      </c>
      <c r="Q25" s="70"/>
    </row>
    <row r="26" customFormat="1" spans="1:19">
      <c r="A26" s="70"/>
      <c r="B26" s="83" t="s">
        <v>202</v>
      </c>
      <c r="C26" s="80"/>
      <c r="D26" s="80">
        <f t="shared" ref="D26:P26" si="2">SUM(D5:D25)</f>
        <v>152000</v>
      </c>
      <c r="E26" s="80">
        <f t="shared" si="2"/>
        <v>103700</v>
      </c>
      <c r="F26" s="80">
        <f t="shared" si="2"/>
        <v>170000</v>
      </c>
      <c r="G26" s="80">
        <f t="shared" si="2"/>
        <v>0</v>
      </c>
      <c r="H26" s="80">
        <f t="shared" si="2"/>
        <v>0</v>
      </c>
      <c r="I26" s="80">
        <f t="shared" si="2"/>
        <v>135000</v>
      </c>
      <c r="J26" s="80">
        <f t="shared" si="2"/>
        <v>0</v>
      </c>
      <c r="K26" s="80">
        <f t="shared" si="2"/>
        <v>0</v>
      </c>
      <c r="L26" s="80">
        <f t="shared" si="2"/>
        <v>0</v>
      </c>
      <c r="M26" s="80">
        <f t="shared" si="2"/>
        <v>0</v>
      </c>
      <c r="N26" s="80">
        <f t="shared" si="2"/>
        <v>0</v>
      </c>
      <c r="O26" s="80">
        <f t="shared" si="2"/>
        <v>0</v>
      </c>
      <c r="P26" s="80">
        <f t="shared" si="2"/>
        <v>560700</v>
      </c>
      <c r="Q26" s="70"/>
    </row>
    <row r="27" spans="1:19">
      <c r="A27" s="70"/>
      <c r="Q27" s="70"/>
    </row>
    <row r="28" spans="1:19">
      <c r="A28" s="70"/>
      <c r="P28" s="84"/>
      <c r="Q28" s="70"/>
    </row>
    <row r="29" spans="1:19">
      <c r="A29" s="70"/>
      <c r="P29" s="84"/>
      <c r="Q29" s="70"/>
    </row>
    <row r="30" spans="1:19">
      <c r="A30" s="70"/>
      <c r="P30" s="84"/>
      <c r="Q30" s="70"/>
    </row>
    <row r="31" spans="1:19">
      <c r="A31" s="70"/>
      <c r="P31" s="84"/>
      <c r="Q31" s="70"/>
    </row>
    <row r="32" spans="1:19">
      <c r="A32" s="70"/>
      <c r="P32" s="84"/>
      <c r="Q32" s="70"/>
    </row>
    <row r="33" spans="1:17">
      <c r="A33" s="70"/>
      <c r="P33" s="84"/>
      <c r="Q33" s="70"/>
    </row>
    <row r="34" spans="1:17">
      <c r="A34" s="70"/>
      <c r="P34" s="84"/>
      <c r="Q34" s="70"/>
    </row>
    <row r="35" spans="1:17">
      <c r="A35" s="70"/>
      <c r="P35" s="84"/>
      <c r="Q35" s="70"/>
    </row>
    <row r="36" spans="1:17">
      <c r="A36" s="70"/>
      <c r="P36" s="84"/>
      <c r="Q36" s="70"/>
    </row>
    <row r="37" spans="1:17">
      <c r="A37" s="70"/>
      <c r="P37" s="84"/>
      <c r="Q37" s="70"/>
    </row>
    <row r="38" spans="1:17">
      <c r="A38" s="70"/>
      <c r="P38" s="84"/>
      <c r="Q38" s="70"/>
    </row>
    <row r="39" spans="1:17">
      <c r="A39" s="70"/>
      <c r="P39" s="84"/>
      <c r="Q39" s="70"/>
    </row>
    <row r="40" spans="1:17">
      <c r="A40" s="70"/>
      <c r="P40" s="84"/>
      <c r="Q40" s="70"/>
    </row>
    <row r="41" spans="1:17">
      <c r="A41" s="70"/>
      <c r="P41" s="84"/>
      <c r="Q41" s="70"/>
    </row>
    <row r="42" spans="1:17">
      <c r="A42" s="70"/>
      <c r="P42" s="84"/>
      <c r="Q42" s="70"/>
    </row>
    <row r="43" spans="1:17">
      <c r="A43" s="70"/>
      <c r="Q43" s="70"/>
    </row>
    <row r="44" s="67" customFormat="1" ht="13" customHeight="1" spans="1:17">
      <c r="A44" s="70"/>
      <c r="B44" s="70"/>
      <c r="C44" s="71"/>
      <c r="D44" s="71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</row>
    <row r="46" spans="1:17">
      <c r="B46" t="s">
        <v>225</v>
      </c>
      <c r="C46" t="s">
        <v>203</v>
      </c>
      <c r="D46" s="85">
        <f>SUM(D5:D9)</f>
        <v>0</v>
      </c>
      <c r="E46" s="85"/>
      <c r="F46" s="85">
        <f t="shared" ref="F46:O46" si="3">SUM(F5:F9)</f>
        <v>0</v>
      </c>
      <c r="G46" s="85">
        <f t="shared" si="3"/>
        <v>0</v>
      </c>
      <c r="H46" s="85">
        <f t="shared" si="3"/>
        <v>0</v>
      </c>
      <c r="I46" s="85">
        <f t="shared" si="3"/>
        <v>0</v>
      </c>
      <c r="J46" s="85">
        <f t="shared" si="3"/>
        <v>0</v>
      </c>
      <c r="K46" s="85">
        <f t="shared" si="3"/>
        <v>0</v>
      </c>
      <c r="L46" s="85">
        <f t="shared" si="3"/>
        <v>0</v>
      </c>
      <c r="M46" s="85">
        <f t="shared" si="3"/>
        <v>0</v>
      </c>
      <c r="N46" s="85">
        <f t="shared" si="3"/>
        <v>0</v>
      </c>
      <c r="O46" s="85">
        <f t="shared" si="3"/>
        <v>0</v>
      </c>
      <c r="P46" s="86">
        <f t="shared" ref="P46:P52" si="4">SUM(D46:O46)</f>
        <v>0</v>
      </c>
    </row>
    <row r="47" ht="18" customHeight="1" spans="1:17">
      <c r="C47" t="s">
        <v>21</v>
      </c>
      <c r="D47" s="85">
        <f>SUM(D15:D18)</f>
        <v>0</v>
      </c>
      <c r="E47" s="85"/>
      <c r="F47" s="85">
        <f t="shared" ref="F47:O47" si="5">SUM(F15:F18)</f>
        <v>170000</v>
      </c>
      <c r="G47" s="85">
        <f t="shared" si="5"/>
        <v>0</v>
      </c>
      <c r="H47" s="85">
        <f t="shared" si="5"/>
        <v>0</v>
      </c>
      <c r="I47" s="85">
        <f t="shared" si="5"/>
        <v>135000</v>
      </c>
      <c r="J47" s="85">
        <f t="shared" si="5"/>
        <v>0</v>
      </c>
      <c r="K47" s="85">
        <f t="shared" si="5"/>
        <v>0</v>
      </c>
      <c r="L47" s="85">
        <f t="shared" si="5"/>
        <v>0</v>
      </c>
      <c r="M47" s="85">
        <f t="shared" si="5"/>
        <v>0</v>
      </c>
      <c r="N47" s="85">
        <f t="shared" si="5"/>
        <v>0</v>
      </c>
      <c r="O47" s="85">
        <f t="shared" si="5"/>
        <v>0</v>
      </c>
      <c r="P47" s="86">
        <f t="shared" si="4"/>
        <v>305000</v>
      </c>
    </row>
    <row r="48" ht="18" customHeight="1" spans="1:17">
      <c r="C48" t="s">
        <v>216</v>
      </c>
      <c r="D48" s="85">
        <f>SUM(D19:D22)</f>
        <v>0</v>
      </c>
      <c r="E48" s="85"/>
      <c r="F48" s="85">
        <f t="shared" ref="F48:O48" si="6">SUM(F19:F22)</f>
        <v>0</v>
      </c>
      <c r="G48" s="85">
        <f t="shared" si="6"/>
        <v>0</v>
      </c>
      <c r="H48" s="85">
        <f t="shared" si="6"/>
        <v>0</v>
      </c>
      <c r="I48" s="85">
        <f t="shared" si="6"/>
        <v>0</v>
      </c>
      <c r="J48" s="85">
        <f t="shared" si="6"/>
        <v>0</v>
      </c>
      <c r="K48" s="85">
        <f t="shared" si="6"/>
        <v>0</v>
      </c>
      <c r="L48" s="85">
        <f t="shared" si="6"/>
        <v>0</v>
      </c>
      <c r="M48" s="85">
        <f t="shared" si="6"/>
        <v>0</v>
      </c>
      <c r="N48" s="85">
        <f t="shared" si="6"/>
        <v>0</v>
      </c>
      <c r="O48" s="85">
        <f t="shared" si="6"/>
        <v>0</v>
      </c>
      <c r="P48" s="86">
        <f t="shared" si="4"/>
        <v>0</v>
      </c>
    </row>
    <row r="49" ht="18" customHeight="1" spans="1:17">
      <c r="C49" t="s">
        <v>125</v>
      </c>
      <c r="D49" s="85">
        <f>D23</f>
        <v>152000</v>
      </c>
      <c r="E49" s="85"/>
      <c r="F49" s="85">
        <f t="shared" ref="F49:O49" si="7">F23</f>
        <v>0</v>
      </c>
      <c r="G49" s="85">
        <f t="shared" si="7"/>
        <v>0</v>
      </c>
      <c r="H49" s="85">
        <f t="shared" si="7"/>
        <v>0</v>
      </c>
      <c r="I49" s="85">
        <f t="shared" si="7"/>
        <v>0</v>
      </c>
      <c r="J49" s="85">
        <f t="shared" si="7"/>
        <v>0</v>
      </c>
      <c r="K49" s="85">
        <f t="shared" si="7"/>
        <v>0</v>
      </c>
      <c r="L49" s="85">
        <f t="shared" si="7"/>
        <v>0</v>
      </c>
      <c r="M49" s="85">
        <f t="shared" si="7"/>
        <v>0</v>
      </c>
      <c r="N49" s="85">
        <f t="shared" si="7"/>
        <v>0</v>
      </c>
      <c r="O49" s="85">
        <f t="shared" si="7"/>
        <v>0</v>
      </c>
      <c r="P49" s="86">
        <f t="shared" si="4"/>
        <v>152000</v>
      </c>
    </row>
    <row r="50" s="69" customFormat="1" ht="18" hidden="1" customHeight="1" spans="1:17">
      <c r="A50" s="67"/>
      <c r="B50"/>
      <c r="C50" t="s">
        <v>221</v>
      </c>
      <c r="D50" s="85">
        <f>D24</f>
        <v>0</v>
      </c>
      <c r="E50" s="85"/>
      <c r="F50" s="85">
        <f t="shared" ref="F50:O50" si="8">F24</f>
        <v>0</v>
      </c>
      <c r="G50" s="85">
        <f t="shared" si="8"/>
        <v>0</v>
      </c>
      <c r="H50" s="85">
        <f t="shared" si="8"/>
        <v>0</v>
      </c>
      <c r="I50" s="85">
        <f t="shared" si="8"/>
        <v>0</v>
      </c>
      <c r="J50" s="85">
        <f t="shared" si="8"/>
        <v>0</v>
      </c>
      <c r="K50" s="85">
        <f t="shared" si="8"/>
        <v>0</v>
      </c>
      <c r="L50" s="85">
        <f t="shared" si="8"/>
        <v>0</v>
      </c>
      <c r="M50" s="85">
        <f t="shared" si="8"/>
        <v>0</v>
      </c>
      <c r="N50" s="85">
        <f t="shared" si="8"/>
        <v>0</v>
      </c>
      <c r="O50" s="85">
        <f t="shared" si="8"/>
        <v>0</v>
      </c>
      <c r="P50" s="86">
        <f t="shared" si="4"/>
        <v>0</v>
      </c>
      <c r="Q50" s="67"/>
    </row>
    <row r="51" s="69" customFormat="1" ht="18" customHeight="1" spans="1:17">
      <c r="A51" s="67"/>
      <c r="B51"/>
      <c r="C51" t="s">
        <v>223</v>
      </c>
      <c r="D51" s="85">
        <f>D25</f>
        <v>0</v>
      </c>
      <c r="E51" s="85"/>
      <c r="F51" s="85">
        <f t="shared" ref="F51:O51" si="9">F25</f>
        <v>0</v>
      </c>
      <c r="G51" s="85">
        <f t="shared" si="9"/>
        <v>0</v>
      </c>
      <c r="H51" s="85">
        <f t="shared" si="9"/>
        <v>0</v>
      </c>
      <c r="I51" s="85">
        <f t="shared" si="9"/>
        <v>0</v>
      </c>
      <c r="J51" s="85">
        <f t="shared" si="9"/>
        <v>0</v>
      </c>
      <c r="K51" s="85">
        <f t="shared" si="9"/>
        <v>0</v>
      </c>
      <c r="L51" s="85">
        <f t="shared" si="9"/>
        <v>0</v>
      </c>
      <c r="M51" s="85">
        <f t="shared" si="9"/>
        <v>0</v>
      </c>
      <c r="N51" s="85">
        <f t="shared" si="9"/>
        <v>0</v>
      </c>
      <c r="O51" s="85">
        <f t="shared" si="9"/>
        <v>0</v>
      </c>
      <c r="P51" s="86">
        <f t="shared" si="4"/>
        <v>0</v>
      </c>
      <c r="Q51" s="67"/>
    </row>
    <row r="52" s="69" customFormat="1" ht="18" customHeight="1" spans="1:17">
      <c r="A52" s="67"/>
      <c r="B52"/>
      <c r="C52" t="s">
        <v>202</v>
      </c>
      <c r="D52" s="86">
        <f>SUM(D46:D51)</f>
        <v>152000</v>
      </c>
      <c r="E52" s="86"/>
      <c r="F52" s="86">
        <f t="shared" ref="F52:O52" si="10">SUM(F46:F51)</f>
        <v>170000</v>
      </c>
      <c r="G52" s="86">
        <f t="shared" si="10"/>
        <v>0</v>
      </c>
      <c r="H52" s="86">
        <f t="shared" si="10"/>
        <v>0</v>
      </c>
      <c r="I52" s="86">
        <f t="shared" si="10"/>
        <v>135000</v>
      </c>
      <c r="J52" s="86">
        <f t="shared" si="10"/>
        <v>0</v>
      </c>
      <c r="K52" s="86">
        <f t="shared" si="10"/>
        <v>0</v>
      </c>
      <c r="L52" s="86">
        <f t="shared" si="10"/>
        <v>0</v>
      </c>
      <c r="M52" s="86">
        <f t="shared" si="10"/>
        <v>0</v>
      </c>
      <c r="N52" s="86">
        <f t="shared" si="10"/>
        <v>0</v>
      </c>
      <c r="O52" s="86">
        <f t="shared" si="10"/>
        <v>0</v>
      </c>
      <c r="P52" s="86">
        <f t="shared" si="4"/>
        <v>457000</v>
      </c>
      <c r="Q52" s="67"/>
    </row>
    <row r="53" s="69" customFormat="1" ht="18" customHeight="1" spans="1:17">
      <c r="A53" s="67"/>
      <c r="Q53" s="67"/>
    </row>
    <row r="54" ht="18" customHeight="1"/>
    <row r="55" spans="1:17">
      <c r="B55" t="s">
        <v>226</v>
      </c>
    </row>
    <row r="56" spans="1:17">
      <c r="B56" t="s">
        <v>227</v>
      </c>
    </row>
    <row r="57" spans="1:17">
      <c r="B57" t="s">
        <v>228</v>
      </c>
    </row>
    <row r="58" spans="1:17">
      <c r="B58" s="69" t="s">
        <v>229</v>
      </c>
    </row>
    <row r="59" spans="1:17">
      <c r="B59" s="69" t="s">
        <v>230</v>
      </c>
    </row>
    <row r="60" spans="1:17">
      <c r="B60" s="69" t="s">
        <v>231</v>
      </c>
    </row>
    <row r="61" spans="1:17">
      <c r="B61" s="69" t="s">
        <v>232</v>
      </c>
    </row>
    <row r="62" spans="1:17">
      <c r="B62" t="s">
        <v>233</v>
      </c>
    </row>
  </sheetData>
  <mergeCells count="5">
    <mergeCell ref="C2:P2"/>
    <mergeCell ref="B3:P3"/>
    <mergeCell ref="B5:B9"/>
    <mergeCell ref="B15:B18"/>
    <mergeCell ref="B19:B22"/>
  </mergeCells>
  <conditionalFormatting sqref="E5:E25">
    <cfRule type="top10" dxfId="0" priority="3" rank="1"/>
  </conditionalFormatting>
  <conditionalFormatting sqref="F5:F25">
    <cfRule type="top10" dxfId="1" priority="4" rank="1"/>
  </conditionalFormatting>
  <conditionalFormatting sqref="G5:G25">
    <cfRule type="top10" dxfId="1" priority="2" rank="1"/>
  </conditionalFormatting>
  <conditionalFormatting sqref="H5:H25">
    <cfRule type="top10" dxfId="1" priority="1" rank="1"/>
  </conditionalFormatting>
  <conditionalFormatting sqref="P5:P25">
    <cfRule type="top10" dxfId="1" priority="9" rank="1"/>
  </conditionalFormatting>
  <conditionalFormatting sqref="D5:E25">
    <cfRule type="top10" dxfId="1" priority="5" rank="1"/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D10"/>
  <sheetViews>
    <sheetView showGridLines="0" zoomScale="85" zoomScaleNormal="85" workbookViewId="0">
      <pane xSplit="17" ySplit="3" topLeftCell="V4" activePane="bottomRight" state="frozen"/>
      <selection/>
      <selection pane="topRight"/>
      <selection pane="bottomLeft"/>
      <selection pane="bottomRight" activeCell="K24" sqref="K24"/>
    </sheetView>
  </sheetViews>
  <sheetFormatPr defaultColWidth="9" defaultRowHeight="19" customHeight="1"/>
  <cols>
    <col min="1" max="1" width="6.87962962962963" style="21" customWidth="1"/>
    <col min="2" max="2" width="11.787037037037" style="22" customWidth="1"/>
    <col min="3" max="3" width="21.0740740740741" style="22" customWidth="1"/>
    <col min="4" max="4" width="21.462962962963" style="22" customWidth="1"/>
    <col min="5" max="5" width="10.787037037037" style="23" hidden="1" customWidth="1"/>
    <col min="6" max="6" width="16.7777777777778" style="24" customWidth="1"/>
    <col min="7" max="7" width="11.4259259259259" style="25" customWidth="1"/>
    <col min="8" max="8" width="15.5555555555556" style="25" customWidth="1"/>
    <col min="9" max="9" width="15.6851851851852" style="26" customWidth="1"/>
    <col min="10" max="10" width="20.7222222222222" style="26" customWidth="1"/>
    <col min="11" max="11" width="14.6388888888889" style="26" customWidth="1"/>
    <col min="12" max="12" width="13.8703703703704" style="27" hidden="1" customWidth="1"/>
    <col min="13" max="13" width="16.3425925925926" style="27" hidden="1" customWidth="1"/>
    <col min="14" max="14" width="8.37962962962963" style="28" customWidth="1"/>
    <col min="15" max="15" width="8.56481481481481" style="29" hidden="1" customWidth="1"/>
    <col min="16" max="16" width="18.75" style="30" customWidth="1"/>
    <col min="17" max="17" width="10.8888888888889" style="31" hidden="1" customWidth="1"/>
    <col min="18" max="28" width="17.6574074074074" style="25" customWidth="1"/>
    <col min="29" max="29" width="15.712962962963" style="25" customWidth="1"/>
    <col min="30" max="30" width="10.3796296296296" style="32" customWidth="1"/>
    <col min="31" max="31" width="14.3333333333333" style="32" customWidth="1"/>
    <col min="32" max="16381" width="8.88888888888889" style="32" customWidth="1"/>
    <col min="16382" max="16384" width="9" style="32" customWidth="1"/>
  </cols>
  <sheetData>
    <row r="1" ht="27" customHeight="1" spans="1:30">
      <c r="A1" s="33" t="s">
        <v>234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5"/>
      <c r="S1" s="35"/>
      <c r="T1" s="35"/>
      <c r="U1" s="34"/>
      <c r="V1" s="34"/>
      <c r="W1" s="34"/>
      <c r="X1" s="34"/>
      <c r="Y1" s="34"/>
      <c r="Z1" s="34"/>
      <c r="AA1" s="34"/>
      <c r="AB1" s="34"/>
      <c r="AC1" s="34"/>
    </row>
    <row r="2" ht="24" spans="1:30">
      <c r="A2" s="36" t="s">
        <v>235</v>
      </c>
      <c r="B2" s="36" t="s">
        <v>236</v>
      </c>
      <c r="C2" s="36" t="s">
        <v>237</v>
      </c>
      <c r="D2" s="36" t="s">
        <v>238</v>
      </c>
      <c r="E2" s="37" t="s">
        <v>239</v>
      </c>
      <c r="F2" s="38" t="s">
        <v>240</v>
      </c>
      <c r="G2" s="39" t="s">
        <v>241</v>
      </c>
      <c r="H2" s="39" t="s">
        <v>242</v>
      </c>
      <c r="I2" s="40" t="s">
        <v>243</v>
      </c>
      <c r="J2" s="40" t="s">
        <v>244</v>
      </c>
      <c r="K2" s="40" t="s">
        <v>245</v>
      </c>
      <c r="L2" s="41" t="s">
        <v>246</v>
      </c>
      <c r="M2" s="41" t="s">
        <v>247</v>
      </c>
      <c r="N2" s="42" t="s">
        <v>248</v>
      </c>
      <c r="O2" s="43" t="s">
        <v>249</v>
      </c>
      <c r="P2" s="39" t="s">
        <v>250</v>
      </c>
      <c r="Q2" s="39" t="s">
        <v>7</v>
      </c>
      <c r="R2" s="39" t="s">
        <v>251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ht="14.4" spans="1:30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39" t="s">
        <v>9</v>
      </c>
      <c r="S3" s="39" t="s">
        <v>10</v>
      </c>
      <c r="T3" s="39" t="s">
        <v>11</v>
      </c>
      <c r="U3" s="39" t="s">
        <v>12</v>
      </c>
      <c r="V3" s="39" t="s">
        <v>13</v>
      </c>
      <c r="W3" s="39" t="s">
        <v>14</v>
      </c>
      <c r="X3" s="39" t="s">
        <v>15</v>
      </c>
      <c r="Y3" s="39" t="s">
        <v>16</v>
      </c>
      <c r="Z3" s="39" t="s">
        <v>17</v>
      </c>
      <c r="AA3" s="39" t="s">
        <v>18</v>
      </c>
      <c r="AB3" s="39" t="s">
        <v>19</v>
      </c>
      <c r="AC3" s="39" t="s">
        <v>20</v>
      </c>
    </row>
    <row r="4" s="17" customFormat="1" ht="17" customHeight="1" spans="1:30">
      <c r="A4" s="45" t="s">
        <v>22</v>
      </c>
      <c r="B4" s="45" t="s">
        <v>204</v>
      </c>
      <c r="C4" s="45"/>
      <c r="D4" s="45"/>
      <c r="E4" s="46">
        <v>46054</v>
      </c>
      <c r="F4" s="47">
        <v>18700</v>
      </c>
      <c r="G4" s="47" t="s">
        <v>206</v>
      </c>
      <c r="H4" s="47" t="s">
        <v>206</v>
      </c>
      <c r="I4" s="48">
        <f>SUM(R4:AC4)</f>
        <v>18700</v>
      </c>
      <c r="J4" s="48">
        <f>SUM(H4:I4)</f>
        <v>18700</v>
      </c>
      <c r="K4" s="48">
        <f>F4-J4</f>
        <v>0</v>
      </c>
      <c r="L4" s="48">
        <v>63000</v>
      </c>
      <c r="M4" s="48"/>
      <c r="N4" s="49">
        <f>IFERROR(J4/F4,0)</f>
        <v>1</v>
      </c>
      <c r="O4" s="48"/>
      <c r="P4" s="50"/>
      <c r="Q4" s="47"/>
      <c r="R4" s="47"/>
      <c r="S4" s="47">
        <v>18700</v>
      </c>
      <c r="T4" s="47"/>
      <c r="U4" s="47"/>
      <c r="V4" s="47"/>
      <c r="W4" s="47"/>
      <c r="X4" s="47"/>
      <c r="Y4" s="47"/>
      <c r="Z4" s="51"/>
      <c r="AA4" s="47"/>
      <c r="AB4" s="48"/>
      <c r="AC4" s="47"/>
    </row>
    <row r="5" s="18" customFormat="1" ht="17" customHeight="1" spans="1:30">
      <c r="A5" s="52"/>
      <c r="B5" s="52"/>
      <c r="C5" s="52"/>
      <c r="D5" s="53" t="s">
        <v>252</v>
      </c>
      <c r="E5" s="54"/>
      <c r="F5" s="55">
        <f t="shared" ref="F5:M5" si="0">SUM(F4:F4)</f>
        <v>18700</v>
      </c>
      <c r="G5" s="55">
        <f t="shared" si="0"/>
        <v>0</v>
      </c>
      <c r="H5" s="55">
        <f t="shared" si="0"/>
        <v>0</v>
      </c>
      <c r="I5" s="55">
        <f t="shared" si="0"/>
        <v>18700</v>
      </c>
      <c r="J5" s="55">
        <f t="shared" si="0"/>
        <v>18700</v>
      </c>
      <c r="K5" s="55">
        <f t="shared" si="0"/>
        <v>0</v>
      </c>
      <c r="L5" s="55">
        <f t="shared" si="0"/>
        <v>63000</v>
      </c>
      <c r="M5" s="55">
        <f t="shared" si="0"/>
        <v>0</v>
      </c>
      <c r="N5" s="56">
        <f>IFERROR(J5/F5,0)</f>
        <v>1</v>
      </c>
      <c r="O5" s="55">
        <f>SUM(O4:O4)</f>
        <v>0</v>
      </c>
      <c r="P5" s="57"/>
      <c r="Q5" s="55"/>
      <c r="R5" s="55">
        <f t="shared" ref="R5:AC5" si="1">SUM(R4:R4)</f>
        <v>0</v>
      </c>
      <c r="S5" s="55">
        <f t="shared" si="1"/>
        <v>18700</v>
      </c>
      <c r="T5" s="55">
        <f t="shared" si="1"/>
        <v>0</v>
      </c>
      <c r="U5" s="55">
        <f t="shared" si="1"/>
        <v>0</v>
      </c>
      <c r="V5" s="55">
        <f t="shared" si="1"/>
        <v>0</v>
      </c>
      <c r="W5" s="55">
        <f t="shared" si="1"/>
        <v>0</v>
      </c>
      <c r="X5" s="55">
        <f t="shared" si="1"/>
        <v>0</v>
      </c>
      <c r="Y5" s="55">
        <f t="shared" si="1"/>
        <v>0</v>
      </c>
      <c r="Z5" s="55">
        <f t="shared" si="1"/>
        <v>0</v>
      </c>
      <c r="AA5" s="55">
        <f t="shared" si="1"/>
        <v>0</v>
      </c>
      <c r="AB5" s="55">
        <f t="shared" si="1"/>
        <v>0</v>
      </c>
      <c r="AC5" s="55">
        <f t="shared" si="1"/>
        <v>0</v>
      </c>
    </row>
    <row r="6" s="19" customFormat="1" ht="17" customHeight="1" spans="1:30">
      <c r="A6" s="58"/>
      <c r="B6" s="58"/>
      <c r="C6" s="58"/>
      <c r="D6" s="58"/>
      <c r="E6" s="59"/>
      <c r="F6" s="58"/>
      <c r="G6" s="58"/>
      <c r="H6" s="58"/>
      <c r="I6" s="58"/>
      <c r="J6" s="58"/>
      <c r="K6" s="58"/>
      <c r="L6" s="60"/>
      <c r="M6" s="60"/>
      <c r="N6" s="61"/>
      <c r="O6" s="58"/>
      <c r="P6" s="62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</row>
    <row r="7" s="20" customFormat="1" ht="17" customHeight="1" spans="1:30">
      <c r="A7" s="63"/>
      <c r="B7" s="63"/>
      <c r="C7" s="63"/>
      <c r="D7" s="64" t="s">
        <v>253</v>
      </c>
      <c r="E7" s="54"/>
      <c r="F7" s="55">
        <f t="shared" ref="F7:M7" si="2">F5</f>
        <v>18700</v>
      </c>
      <c r="G7" s="55">
        <f t="shared" si="2"/>
        <v>0</v>
      </c>
      <c r="H7" s="55">
        <f t="shared" si="2"/>
        <v>0</v>
      </c>
      <c r="I7" s="55">
        <f t="shared" si="2"/>
        <v>18700</v>
      </c>
      <c r="J7" s="55">
        <f t="shared" si="2"/>
        <v>18700</v>
      </c>
      <c r="K7" s="55">
        <f t="shared" si="2"/>
        <v>0</v>
      </c>
      <c r="L7" s="55">
        <f t="shared" si="2"/>
        <v>63000</v>
      </c>
      <c r="M7" s="55">
        <f t="shared" si="2"/>
        <v>0</v>
      </c>
      <c r="N7" s="56">
        <f>IFERROR(J7/F7,0)</f>
        <v>1</v>
      </c>
      <c r="O7" s="55">
        <f t="shared" ref="O7:AC7" si="3">O5</f>
        <v>0</v>
      </c>
      <c r="P7" s="55">
        <f t="shared" si="3"/>
        <v>0</v>
      </c>
      <c r="Q7" s="55">
        <f t="shared" si="3"/>
        <v>0</v>
      </c>
      <c r="R7" s="55">
        <f t="shared" si="3"/>
        <v>0</v>
      </c>
      <c r="S7" s="55">
        <f t="shared" si="3"/>
        <v>18700</v>
      </c>
      <c r="T7" s="55">
        <f t="shared" si="3"/>
        <v>0</v>
      </c>
      <c r="U7" s="55">
        <f t="shared" si="3"/>
        <v>0</v>
      </c>
      <c r="V7" s="55">
        <f t="shared" si="3"/>
        <v>0</v>
      </c>
      <c r="W7" s="55">
        <f t="shared" si="3"/>
        <v>0</v>
      </c>
      <c r="X7" s="55">
        <f t="shared" si="3"/>
        <v>0</v>
      </c>
      <c r="Y7" s="55">
        <f t="shared" si="3"/>
        <v>0</v>
      </c>
      <c r="Z7" s="55">
        <f t="shared" si="3"/>
        <v>0</v>
      </c>
      <c r="AA7" s="55">
        <f t="shared" si="3"/>
        <v>0</v>
      </c>
      <c r="AB7" s="55">
        <f t="shared" si="3"/>
        <v>0</v>
      </c>
      <c r="AC7" s="55">
        <f t="shared" si="3"/>
        <v>0</v>
      </c>
    </row>
    <row r="8" ht="14.4" spans="1:30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 ht="14.4" spans="1:30">
      <c r="A9" s="34"/>
      <c r="B9" s="34"/>
      <c r="C9" s="34"/>
      <c r="D9" s="34"/>
      <c r="E9" s="34"/>
      <c r="F9" s="65">
        <f t="shared" ref="F9:AC9" si="4">F7</f>
        <v>18700</v>
      </c>
      <c r="G9" s="65">
        <f t="shared" si="4"/>
        <v>0</v>
      </c>
      <c r="H9" s="65">
        <f t="shared" si="4"/>
        <v>0</v>
      </c>
      <c r="I9" s="65">
        <f t="shared" si="4"/>
        <v>18700</v>
      </c>
      <c r="J9" s="65">
        <f t="shared" si="4"/>
        <v>18700</v>
      </c>
      <c r="K9" s="65">
        <f t="shared" si="4"/>
        <v>0</v>
      </c>
      <c r="L9" s="65">
        <f t="shared" si="4"/>
        <v>63000</v>
      </c>
      <c r="M9" s="65">
        <f t="shared" si="4"/>
        <v>0</v>
      </c>
      <c r="N9" s="66">
        <f t="shared" si="4"/>
        <v>1</v>
      </c>
      <c r="O9" s="65">
        <f t="shared" si="4"/>
        <v>0</v>
      </c>
      <c r="P9" s="65">
        <f t="shared" si="4"/>
        <v>0</v>
      </c>
      <c r="Q9" s="48">
        <f t="shared" si="4"/>
        <v>0</v>
      </c>
      <c r="R9" s="48">
        <f t="shared" si="4"/>
        <v>0</v>
      </c>
      <c r="S9" s="48">
        <f t="shared" si="4"/>
        <v>18700</v>
      </c>
      <c r="T9" s="48">
        <f t="shared" si="4"/>
        <v>0</v>
      </c>
      <c r="U9" s="48">
        <f t="shared" si="4"/>
        <v>0</v>
      </c>
      <c r="V9" s="48">
        <f t="shared" si="4"/>
        <v>0</v>
      </c>
      <c r="W9" s="48">
        <f t="shared" si="4"/>
        <v>0</v>
      </c>
      <c r="X9" s="48">
        <f t="shared" si="4"/>
        <v>0</v>
      </c>
      <c r="Y9" s="48">
        <f t="shared" si="4"/>
        <v>0</v>
      </c>
      <c r="Z9" s="48">
        <f t="shared" si="4"/>
        <v>0</v>
      </c>
      <c r="AA9" s="48">
        <f t="shared" si="4"/>
        <v>0</v>
      </c>
      <c r="AB9" s="48">
        <f t="shared" si="4"/>
        <v>0</v>
      </c>
      <c r="AC9" s="48">
        <f t="shared" si="4"/>
        <v>0</v>
      </c>
    </row>
    <row r="10" ht="14.4" spans="1:30">
      <c r="AD10" s="25"/>
    </row>
  </sheetData>
  <autoFilter xmlns:etc="http://www.wps.cn/officeDocument/2017/etCustomData" ref="A2:AC7" etc:filterBottomFollowUsedRange="0">
    <extLst/>
  </autoFilter>
  <conditionalFormatting sqref="N4">
    <cfRule type="cellIs" dxfId="2" priority="36" operator="lessThan">
      <formula>1</formula>
    </cfRule>
  </conditionalFormatting>
  <conditionalFormatting sqref="N1:N3 N5:N1048576">
    <cfRule type="cellIs" dxfId="2" priority="96" operator="lessThan">
      <formula>1</formula>
    </cfRule>
  </conditionalFormatting>
  <dataValidations count="1">
    <dataValidation type="list" allowBlank="1" showInputMessage="1" showErrorMessage="1" sqref="B$1:B$1048576">
      <formula1>"广州德纳智谷科技有限公司,广东超元力文化科技有限公司,广州德为科技有限公司,庄志勇,其他"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Y2"/>
  <sheetViews>
    <sheetView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E24" sqref="E24"/>
    </sheetView>
  </sheetViews>
  <sheetFormatPr defaultColWidth="9" defaultRowHeight="16" customHeight="1" outlineLevelRow="1"/>
  <cols>
    <col min="1" max="2" width="8.11111111111111" style="2" customWidth="1"/>
    <col min="3" max="3" width="13.2314814814815" style="2" customWidth="1"/>
    <col min="4" max="4" width="23.3796296296296" style="2" customWidth="1"/>
    <col min="5" max="5" width="23.75" style="2" customWidth="1"/>
    <col min="6" max="6" width="22.5" style="2" customWidth="1"/>
    <col min="7" max="7" width="11" style="2" customWidth="1"/>
    <col min="8" max="8" width="12.8148148148148" style="2" customWidth="1"/>
    <col min="9" max="9" width="10.75" style="2" customWidth="1"/>
    <col min="10" max="10" width="15.3796296296296" style="2" customWidth="1"/>
    <col min="11" max="11" width="15" style="3" customWidth="1"/>
    <col min="12" max="12" width="13.5555555555556" style="4" customWidth="1"/>
    <col min="13" max="13" width="9.22222222222222" style="2" customWidth="1"/>
    <col min="14" max="14" width="11" style="3" customWidth="1"/>
    <col min="15" max="15" width="13.962962962963" style="4" customWidth="1"/>
    <col min="16" max="16" width="11.787037037037" style="4" customWidth="1"/>
    <col min="17" max="17" width="11" style="2" customWidth="1"/>
    <col min="18" max="18" width="15.7037037037037" style="2" customWidth="1"/>
    <col min="19" max="24" width="11" style="2" customWidth="1"/>
  </cols>
  <sheetData>
    <row r="1" s="1" customFormat="1" ht="15" customHeight="1" spans="1:25">
      <c r="A1" s="5" t="s">
        <v>0</v>
      </c>
      <c r="B1" s="5" t="s">
        <v>235</v>
      </c>
      <c r="C1" s="5" t="s">
        <v>236</v>
      </c>
      <c r="D1" s="5" t="s">
        <v>254</v>
      </c>
      <c r="E1" s="5" t="s">
        <v>238</v>
      </c>
      <c r="F1" s="5" t="s">
        <v>5</v>
      </c>
      <c r="G1" s="5" t="s">
        <v>255</v>
      </c>
      <c r="H1" s="5" t="s">
        <v>256</v>
      </c>
      <c r="I1" s="5" t="s">
        <v>257</v>
      </c>
      <c r="J1" s="5" t="s">
        <v>258</v>
      </c>
      <c r="K1" s="5" t="s">
        <v>259</v>
      </c>
      <c r="L1" s="6" t="s">
        <v>260</v>
      </c>
      <c r="M1" s="5" t="s">
        <v>241</v>
      </c>
      <c r="N1" s="5" t="s">
        <v>261</v>
      </c>
      <c r="O1" s="6" t="s">
        <v>262</v>
      </c>
      <c r="P1" s="6" t="s">
        <v>248</v>
      </c>
      <c r="Q1" s="7" t="s">
        <v>263</v>
      </c>
      <c r="R1" s="8" t="s">
        <v>264</v>
      </c>
      <c r="S1" s="8" t="s">
        <v>265</v>
      </c>
      <c r="T1" s="8" t="s">
        <v>266</v>
      </c>
      <c r="U1" s="9" t="s">
        <v>267</v>
      </c>
      <c r="V1" s="9" t="s">
        <v>268</v>
      </c>
      <c r="W1" s="9" t="s">
        <v>269</v>
      </c>
      <c r="X1" s="5" t="s">
        <v>270</v>
      </c>
    </row>
    <row r="2" ht="15" customHeight="1" spans="1:25">
      <c r="A2" s="10" t="s">
        <v>21</v>
      </c>
      <c r="B2" s="10" t="s">
        <v>29</v>
      </c>
      <c r="C2" s="10" t="s">
        <v>271</v>
      </c>
      <c r="D2" s="10" t="s">
        <v>272</v>
      </c>
      <c r="E2" s="10" t="s">
        <v>273</v>
      </c>
      <c r="F2" s="10"/>
      <c r="G2" s="10" t="s">
        <v>274</v>
      </c>
      <c r="H2" s="11" t="s">
        <v>275</v>
      </c>
      <c r="I2" s="11"/>
      <c r="J2" s="12"/>
      <c r="K2" s="13">
        <v>45992</v>
      </c>
      <c r="L2" s="14">
        <v>20000</v>
      </c>
      <c r="M2" s="10"/>
      <c r="N2" s="13">
        <v>46006</v>
      </c>
      <c r="O2" s="14">
        <v>20000</v>
      </c>
      <c r="P2" s="10"/>
      <c r="Q2" s="10"/>
      <c r="R2" s="10" t="str">
        <f>TEXT(K2,"yyyy-mm")</f>
        <v>2025-12</v>
      </c>
      <c r="S2" s="10" t="str">
        <f>YEAR(K2)&amp;"Q"&amp;ROUNDUP(MONTH(K2)/3,0)</f>
        <v>2025Q4</v>
      </c>
      <c r="T2" s="15" t="str">
        <f>TEXT(K2,"yyyy")</f>
        <v>2025</v>
      </c>
      <c r="U2" s="10" t="str">
        <f>TEXT(N2,"yyyy-mm")</f>
        <v>2025-12</v>
      </c>
      <c r="V2" s="10" t="str">
        <f>YEAR(N2)&amp;"Q"&amp;ROUNDUP(MONTH(N2)/3,0)</f>
        <v>2025Q4</v>
      </c>
      <c r="W2" s="10">
        <f>YEAR(N2)</f>
        <v>2025</v>
      </c>
      <c r="X2" s="10" t="str">
        <f>IF(O2=0,"未回款",IF(SUMIF(E:E,E2,O:O)=L2,"已回款","部分回款"))</f>
        <v>已回款</v>
      </c>
      <c r="Y2" s="16"/>
    </row>
  </sheetData>
  <autoFilter xmlns:etc="http://www.wps.cn/officeDocument/2017/etCustomData" ref="A1:X2" etc:filterBottomFollowUsedRange="0">
    <extLst/>
  </autoFilter>
  <conditionalFormatting sqref="E1">
    <cfRule type="expression" dxfId="3" priority="1295">
      <formula>AND(#REF!&gt;0,#REF!&gt;0)</formula>
    </cfRule>
  </conditionalFormatting>
  <conditionalFormatting sqref="I1">
    <cfRule type="expression" dxfId="3" priority="362">
      <formula>AND(#REF!&gt;0,#REF!&gt;0)</formula>
    </cfRule>
    <cfRule type="expression" dxfId="4" priority="361">
      <formula>AND(#REF!&gt;0,,#REF!&gt;0)</formula>
    </cfRule>
  </conditionalFormatting>
  <conditionalFormatting sqref="J1">
    <cfRule type="expression" dxfId="3" priority="1297">
      <formula>AND(#REF!&gt;0,#REF!&gt;0)</formula>
    </cfRule>
  </conditionalFormatting>
  <conditionalFormatting sqref="A2:B2">
    <cfRule type="expression" dxfId="3" priority="574">
      <formula>AND(#REF!&gt;0,#REF!&gt;0)</formula>
    </cfRule>
  </conditionalFormatting>
  <conditionalFormatting sqref="E2">
    <cfRule type="expression" dxfId="3" priority="747">
      <formula>AND(#REF!&gt;0,#REF!&gt;0)</formula>
    </cfRule>
  </conditionalFormatting>
  <conditionalFormatting sqref="F2">
    <cfRule type="expression" dxfId="3" priority="1459">
      <formula>AND(#REF!&gt;0,#REF!&gt;0)</formula>
    </cfRule>
  </conditionalFormatting>
  <conditionalFormatting sqref="H2">
    <cfRule type="expression" dxfId="3" priority="579">
      <formula>AND(#REF!&gt;0,#REF!&gt;0)</formula>
    </cfRule>
  </conditionalFormatting>
  <conditionalFormatting sqref="I2">
    <cfRule type="expression" dxfId="3" priority="1778">
      <formula>AND(#REF!&gt;0,#REF!&gt;0)</formula>
    </cfRule>
  </conditionalFormatting>
  <conditionalFormatting sqref="J2">
    <cfRule type="expression" dxfId="3" priority="1460">
      <formula>AND(#REF!&gt;0,#REF!&gt;0)</formula>
    </cfRule>
  </conditionalFormatting>
  <conditionalFormatting sqref="E3:E1048154">
    <cfRule type="expression" dxfId="3" priority="1250">
      <formula>AND(#REF!&gt;0,B4&gt;0)</formula>
    </cfRule>
  </conditionalFormatting>
  <conditionalFormatting sqref="E1048155:E1048576">
    <cfRule type="expression" dxfId="3" priority="1384">
      <formula>AND(#REF!&gt;0,#REF!&gt;0)</formula>
    </cfRule>
  </conditionalFormatting>
  <conditionalFormatting sqref="F3:F1048154">
    <cfRule type="expression" dxfId="3" priority="1380">
      <formula>AND(#REF!&gt;0,C4&gt;0)</formula>
    </cfRule>
  </conditionalFormatting>
  <conditionalFormatting sqref="F1048155:F1048576">
    <cfRule type="expression" dxfId="3" priority="1385">
      <formula>AND(#REF!&gt;0,#REF!&gt;0)</formula>
    </cfRule>
  </conditionalFormatting>
  <conditionalFormatting sqref="H3:H1048154">
    <cfRule type="expression" dxfId="3" priority="990">
      <formula>AND(#REF!&gt;0,D4&gt;0)</formula>
    </cfRule>
  </conditionalFormatting>
  <conditionalFormatting sqref="I3:I1048154">
    <cfRule type="expression" dxfId="3" priority="1786">
      <formula>AND(#REF!&gt;0,E4&gt;0)</formula>
    </cfRule>
  </conditionalFormatting>
  <conditionalFormatting sqref="J3:J1048154">
    <cfRule type="expression" dxfId="3" priority="1229">
      <formula>AND(#REF!&gt;0,G4&gt;0)</formula>
    </cfRule>
  </conditionalFormatting>
  <conditionalFormatting sqref="J1048155:J1048576">
    <cfRule type="expression" dxfId="3" priority="1382">
      <formula>AND(#REF!&gt;0,#REF!&gt;0)</formula>
    </cfRule>
  </conditionalFormatting>
  <conditionalFormatting sqref="A1:B1 E1:F1 H1 J1">
    <cfRule type="expression" dxfId="4" priority="1294">
      <formula>AND(#REF!&gt;0,,#REF!&gt;0)</formula>
    </cfRule>
  </conditionalFormatting>
  <conditionalFormatting sqref="A1:B1 A3:B1048576">
    <cfRule type="expression" dxfId="3" priority="991">
      <formula>AND(#REF!&gt;0,#REF!&gt;0)</formula>
    </cfRule>
  </conditionalFormatting>
  <conditionalFormatting sqref="F1 H1">
    <cfRule type="expression" dxfId="3" priority="1296">
      <formula>AND(#REF!&gt;0,#REF!&gt;0)</formula>
    </cfRule>
  </conditionalFormatting>
  <conditionalFormatting sqref="A2:B2 E2:F2 H2:J2">
    <cfRule type="expression" dxfId="4" priority="578">
      <formula>AND(#REF!&gt;0,,#REF!&gt;0)</formula>
    </cfRule>
  </conditionalFormatting>
  <conditionalFormatting sqref="A3:B1048154 E3:F1048154 H3:J1048154">
    <cfRule type="expression" dxfId="4" priority="1000">
      <formula>AND($L4&gt;0,,$O4&gt;0)</formula>
    </cfRule>
  </conditionalFormatting>
  <conditionalFormatting sqref="A1048155:B1048576 E1048155:F1048576 H1048155:J1048576">
    <cfRule type="expression" dxfId="4" priority="1381">
      <formula>AND(#REF!&gt;0,,#REF!&gt;0)</formula>
    </cfRule>
  </conditionalFormatting>
  <conditionalFormatting sqref="H1048155:I1048576">
    <cfRule type="expression" dxfId="3" priority="1386">
      <formula>AND(#REF!&gt;0,#REF!&gt;0)</formula>
    </cfRule>
  </conditionalFormatting>
  <dataValidations count="5">
    <dataValidation type="list" allowBlank="1" showInputMessage="1" showErrorMessage="1" sqref="G1 G3:G1048576">
      <formula1>"GTI,郑州展会,公司资源,柏丽分配,自拓"</formula1>
    </dataValidation>
    <dataValidation type="list" allowBlank="1" showInputMessage="1" showErrorMessage="1" sqref="H1 H3:H1048576">
      <formula1>"已签约,已签约未回款,待签约,跟进中,有初步意向,等待门店体验,黄了"</formula1>
    </dataValidation>
    <dataValidation type="list" allowBlank="1" showInputMessage="1" showErrorMessage="1" sqref="H2">
      <formula1>"已签约,已签约未回款,待签约,跟进中,有初步意向,黄了"</formula1>
    </dataValidation>
    <dataValidation type="list" allowBlank="1" showInputMessage="1" showErrorMessage="1" sqref="A$1:A$1048576">
      <formula1>"勇哥组,傲翔组,意林组,冉哥组,王安祥组,外贸组"</formula1>
    </dataValidation>
    <dataValidation allowBlank="1" showInputMessage="1" showErrorMessage="1" sqref="I$1:I$1048576"/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moxuan</dc:creator>
  <dcterms:created xsi:type="dcterms:W3CDTF">2023-05-12T03:15:00Z</dcterms:created>
  <dcterms:modified xsi:type="dcterms:W3CDTF">2026-07-25T09:28:34Z</dcterms:modified>
  <cp:lastModifiedBy>薛轶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i4>0</vt:i4>
  </property>
  <property name="KSOReadingLayout" fmtid="{D5CDD505-2E9C-101B-9397-08002B2CF9AE}" pid="3">
    <vt:bool>0</vt:bool>
  </property>
  <property name="KSOProductBuildVer" fmtid="{D5CDD505-2E9C-101B-9397-08002B2CF9AE}" pid="4">
    <vt:lpwstr>2052-12.1.0.26884</vt:lpwstr>
  </property>
  <property name="ICV" fmtid="{D5CDD505-2E9C-101B-9397-08002B2CF9AE}" pid="5">
    <vt:lpwstr>2AF525650D394FE39F2687024D028E2E_13</vt:lpwstr>
  </property>
</Properties>
</file>