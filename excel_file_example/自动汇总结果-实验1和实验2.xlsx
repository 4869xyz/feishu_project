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50" windowHeight="11250" tabRatio="959" activeTab="3"/>
  </bookViews>
  <sheets>
    <sheet name="展示用-2026年签约数据汇总（0702统计）" sheetId="1" r:id="rId1"/>
    <sheet name="展示用-签约排名汇总（0702统计）" sheetId="2" r:id="rId2"/>
    <sheet name="展示用-2026年回款数据汇总(0702统计)" sheetId="3" r:id="rId3"/>
    <sheet name="明细" sheetId="4" r:id="rId4"/>
  </sheets>
  <definedNames>
    <definedName name="_xlnm._FilterDatabase" localSheetId="0" hidden="1">'展示用-2026年签约数据汇总（0702统计）'!$A$3:$T$13</definedName>
    <definedName name="_xlnm._FilterDatabase" localSheetId="2" hidden="1">'展示用-2026年回款数据汇总(0702统计)'!$A$2:$AC$9</definedName>
    <definedName name="_xlnm._FilterDatabase" localSheetId="3" hidden="1">明细!$A$1:$X$2</definedName>
    <definedName name="品类_01">#REF!</definedName>
    <definedName name="品类_01" localSheetId="0">#REF!</definedName>
    <definedName name="品类_01" localSheetId="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<sst xmlns="http://schemas.openxmlformats.org/spreadsheetml/2006/main" count="235" uniqueCount="136">
  <si>
    <t>组别</t>
  </si>
  <si>
    <t>序号</t>
  </si>
  <si>
    <t>人员</t>
  </si>
  <si>
    <t>客户简称</t>
  </si>
  <si>
    <t>销售产品名称/项目名称</t>
  </si>
  <si>
    <t>落地地点</t>
  </si>
  <si>
    <t>客户来源
（展会需注明）</t>
  </si>
  <si>
    <t>备注</t>
  </si>
  <si>
    <t>签约后且收到第一笔款后才算已签约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</si>
  <si>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</si>
  <si>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</si>
  <si>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</si>
  <si>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</si>
  <si>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</si>
  <si>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</si>
  <si>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</si>
  <si>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</si>
  <si>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</si>
  <si>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</si>
  <si>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</si>
  <si>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</si>
  <si>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傲翔组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</si>
  <si>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</si>
  <si>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</si>
  <si>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</si>
  <si>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</si>
  <si>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</si>
  <si>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</si>
  <si>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</si>
  <si>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</si>
  <si>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</si>
  <si>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</si>
  <si>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</si>
  <si>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</si>
  <si>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</si>
  <si>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</si>
  <si>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</si>
  <si>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</si>
  <si>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</si>
  <si>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</si>
  <si>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</si>
  <si>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</si>
  <si>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</si>
  <si>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个人月度合计：</t>
  </si>
  <si>
    <t>个人季度合计：</t>
  </si>
  <si>
    <t>个人年度合计：</t>
  </si>
  <si>
    <t>小组月度合计：</t>
  </si>
  <si>
    <t>小组季度合计：</t>
  </si>
  <si>
    <t>小组年度合计：</t>
  </si>
  <si>
    <t>冉哥组</t>
  </si>
  <si>
    <t>部门月度合计：</t>
  </si>
  <si>
    <t>部门季度合计：</t>
  </si>
  <si>
    <t>部门年度合计：</t>
  </si>
  <si>
    <t>已签约统计数据表</t>
  </si>
  <si>
    <t>总计</t>
  </si>
  <si>
    <t>勇哥组</t>
  </si>
  <si>
    <t>庄志勇</t>
  </si>
  <si>
    <t>曾锦鹏</t>
  </si>
  <si>
    <t>/</t>
  </si>
  <si>
    <t>李敏健</t>
  </si>
  <si>
    <t>毕亚吉</t>
  </si>
  <si>
    <t>吴祖陈</t>
  </si>
  <si>
    <t>黄梓毅</t>
  </si>
  <si>
    <t>林国斌</t>
  </si>
  <si>
    <t>陈晓勇</t>
  </si>
  <si>
    <t>李雷</t>
  </si>
  <si>
    <t>梁秋霞</t>
  </si>
  <si>
    <t>吴傲翔</t>
  </si>
  <si>
    <t>李菁萍</t>
  </si>
  <si>
    <t>于永强</t>
  </si>
  <si>
    <t>胡佳新</t>
  </si>
  <si>
    <t>意林组</t>
  </si>
  <si>
    <t>杨意林</t>
  </si>
  <si>
    <t>杨第洲</t>
  </si>
  <si>
    <t>邬晓娟</t>
  </si>
  <si>
    <t>钟嫄</t>
  </si>
  <si>
    <t>冉钦</t>
  </si>
  <si>
    <t>王安祥组</t>
  </si>
  <si>
    <t>王安祥</t>
  </si>
  <si>
    <t>外贸组</t>
  </si>
  <si>
    <t>彭绍佳</t>
  </si>
  <si>
    <t>小组合计</t>
  </si>
  <si>
    <t>超元力销售奖惩:</t>
  </si>
  <si>
    <t>月度销冠且达80万奖励1000，季度销冠且达240万奖励2000，年度销冠且达800万奖励1万</t>
  </si>
  <si>
    <t>月度和季度业绩对赌</t>
  </si>
  <si>
    <t>破蛋奖：前2个月能开单，200</t>
  </si>
  <si>
    <t>新人达标奖：前2个月完成转正指标，600</t>
  </si>
  <si>
    <t>新人业绩奖：0-6月任何月完成30万，500</t>
  </si>
  <si>
    <t>转正指标：10万利润或28万业绩</t>
  </si>
  <si>
    <t>惩罚：当月未达月度目标，扣除当月业绩提成20%</t>
  </si>
  <si>
    <t>2026年回款数据汇总</t>
  </si>
  <si>
    <t>姓名</t>
  </si>
  <si>
    <t>收款主体</t>
  </si>
  <si>
    <t>付款主体</t>
  </si>
  <si>
    <t>产品</t>
  </si>
  <si>
    <t>合同日期</t>
  </si>
  <si>
    <t>合同总价</t>
  </si>
  <si>
    <t>居间费</t>
  </si>
  <si>
    <t>已回款-提成口（26年以前）</t>
  </si>
  <si>
    <t>已回款-提成口径（26年）</t>
  </si>
  <si>
    <t>已回款-提成口径总额</t>
  </si>
  <si>
    <t>待回款额</t>
  </si>
  <si>
    <t>已开发票金额</t>
  </si>
  <si>
    <t>已开票未回款</t>
  </si>
  <si>
    <t>回款比例</t>
  </si>
  <si>
    <t>税/运费</t>
  </si>
  <si>
    <t>预计剩余回款时间及金额</t>
  </si>
  <si>
    <t>已回款-业绩口径(26年)</t>
  </si>
  <si>
    <t>张三</t>
  </si>
  <si>
    <t>李四</t>
  </si>
  <si>
    <t>个人小计：</t>
  </si>
  <si>
    <t>张思</t>
  </si>
  <si>
    <t>王儿</t>
  </si>
  <si>
    <t>部门总计：</t>
  </si>
  <si>
    <t>客户名称</t>
  </si>
  <si>
    <t>客户来源</t>
  </si>
  <si>
    <t>项目状态</t>
  </si>
  <si>
    <t>回款状态</t>
  </si>
  <si>
    <t>跟进情况</t>
  </si>
  <si>
    <t>签约日期</t>
  </si>
  <si>
    <t>签约金额</t>
  </si>
  <si>
    <t>回款日期</t>
  </si>
  <si>
    <t>回款金额</t>
  </si>
  <si>
    <t>税费</t>
  </si>
  <si>
    <t>签约年月</t>
  </si>
  <si>
    <t>签约季度</t>
  </si>
  <si>
    <t>签约年度</t>
  </si>
  <si>
    <t>回款年月</t>
  </si>
  <si>
    <t>回款季度</t>
  </si>
  <si>
    <t>回款年度</t>
  </si>
  <si>
    <t>状态</t>
  </si>
  <si>
    <t>广州德纳智谷科技有限公司</t>
  </si>
  <si>
    <t>北京汇融视景科技有限公司</t>
  </si>
  <si>
    <t>甘肃科技馆影片</t>
  </si>
  <si>
    <t>自拓</t>
  </si>
  <si>
    <t>已签约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</si>
</sst>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_ * #,##0.0_ ;_ * \-#,##0.0_ ;_ * &quot;-&quot;?_ ;_ @_ "/>
    <numFmt numFmtId="178" formatCode="yyyy&quot;-&quot;mm&quot;&quot;"/>
    <numFmt numFmtId="179" formatCode="yyyy&quot;年&quot;m&quot;月&quot;;@"/>
    <numFmt numFmtId="180" formatCode="yyyy&quot;年&quot;"/>
    <numFmt numFmtId="181" formatCode="0.0_ "/>
    <numFmt numFmtId="182" formatCode="#,##0_ "/>
    <numFmt numFmtId="183" formatCode="#,##0.0_ "/>
    <numFmt numFmtId="184" formatCode="0.0%"/>
  </numFmts>
  <fonts count="42">
    <font>
      <sz val="11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0"/>
      <color rgb="FF000000"/>
      <name val="黑体"/>
      <charset val="134"/>
    </font>
    <font>
      <sz val="11"/>
      <color rgb="FF000000"/>
      <name val="黑体"/>
      <charset val="134"/>
    </font>
    <font>
      <b/>
      <sz val="10"/>
      <color rgb="FF000000"/>
      <name val="黑体"/>
      <charset val="134"/>
    </font>
    <font>
      <b/>
      <sz val="10"/>
      <name val="黑体"/>
      <charset val="134"/>
    </font>
    <font>
      <b/>
      <sz val="11"/>
      <name val="宋体"/>
      <charset val="134"/>
    </font>
    <font>
      <sz val="10"/>
      <name val="黑体"/>
      <charset val="134"/>
    </font>
    <font>
      <sz val="10"/>
      <name val="宋体"/>
      <charset val="134"/>
    </font>
    <font>
      <sz val="11"/>
      <color rgb="FF000000"/>
      <name val="江城正义体 300W"/>
      <charset val="134"/>
    </font>
    <font>
      <sz val="11"/>
      <color rgb="FF000000"/>
      <name val="阿里巴巴普惠体 2.0 55 Regular"/>
      <charset val="134"/>
    </font>
    <font>
      <sz val="20"/>
      <color rgb="FF000000"/>
      <name val="黑体"/>
      <charset val="134"/>
    </font>
    <font>
      <b/>
      <sz val="11"/>
      <color rgb="FF000000"/>
      <name val="黑体"/>
      <charset val="134"/>
    </font>
    <font>
      <sz val="10"/>
      <color rgb="FF000000"/>
      <name val="微软雅黑"/>
      <charset val="134"/>
    </font>
    <font>
      <b/>
      <sz val="10"/>
      <color rgb="FFC00000"/>
      <name val="微软雅黑"/>
      <charset val="134"/>
    </font>
    <font>
      <b/>
      <sz val="14"/>
      <name val="微软雅黑"/>
      <charset val="134"/>
    </font>
    <font>
      <b/>
      <sz val="10"/>
      <name val="微软雅黑"/>
      <charset val="134"/>
    </font>
    <font>
      <b/>
      <sz val="26"/>
      <color rgb="FF000000"/>
      <name val="黑体"/>
      <charset val="134"/>
    </font>
    <font>
      <sz val="10"/>
      <color rgb="FFC00000"/>
      <name val="黑体"/>
      <charset val="134"/>
    </font>
    <font>
      <b/>
      <sz val="10"/>
      <color rgb="FFC0000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38ABA6"/>
        <bgColor indexed="64"/>
      </patternFill>
    </fill>
    <fill>
      <patternFill patternType="solid">
        <fgColor rgb="FFE4F7F5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2" fillId="0" borderId="0">
      <alignment vertical="center"/>
    </xf>
    <xf numFmtId="44" fontId="22" fillId="0" borderId="0">
      <alignment vertical="center"/>
    </xf>
    <xf numFmtId="9" fontId="22" fillId="0" borderId="0">
      <alignment vertical="center"/>
    </xf>
    <xf numFmtId="41" fontId="22" fillId="0" borderId="0">
      <alignment vertical="center"/>
    </xf>
    <xf numFmtId="42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2" fillId="8" borderId="11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12">
      <alignment vertical="center"/>
    </xf>
    <xf numFmtId="0" fontId="29" fillId="0" borderId="12">
      <alignment vertical="center"/>
    </xf>
    <xf numFmtId="0" fontId="30" fillId="0" borderId="13">
      <alignment vertical="center"/>
    </xf>
    <xf numFmtId="0" fontId="30" fillId="0" borderId="0">
      <alignment vertical="center"/>
    </xf>
    <xf numFmtId="0" fontId="31" fillId="9" borderId="14">
      <alignment vertical="center"/>
    </xf>
    <xf numFmtId="0" fontId="32" fillId="10" borderId="15">
      <alignment vertical="center"/>
    </xf>
    <xf numFmtId="0" fontId="33" fillId="10" borderId="14">
      <alignment vertical="center"/>
    </xf>
    <xf numFmtId="0" fontId="34" fillId="11" borderId="16">
      <alignment vertical="center"/>
    </xf>
    <xf numFmtId="0" fontId="35" fillId="0" borderId="17">
      <alignment vertical="center"/>
    </xf>
    <xf numFmtId="0" fontId="36" fillId="0" borderId="18">
      <alignment vertical="center"/>
    </xf>
    <xf numFmtId="0" fontId="37" fillId="12" borderId="0">
      <alignment vertical="center"/>
    </xf>
    <xf numFmtId="0" fontId="38" fillId="13" borderId="0">
      <alignment vertical="center"/>
    </xf>
    <xf numFmtId="0" fontId="39" fillId="14" borderId="0">
      <alignment vertical="center"/>
    </xf>
    <xf numFmtId="0" fontId="40" fillId="15" borderId="0">
      <alignment vertical="center"/>
    </xf>
    <xf numFmtId="0" fontId="41" fillId="16" borderId="0">
      <alignment vertical="center"/>
    </xf>
    <xf numFmtId="0" fontId="41" fillId="17" borderId="0">
      <alignment vertical="center"/>
    </xf>
    <xf numFmtId="0" fontId="40" fillId="18" borderId="0">
      <alignment vertical="center"/>
    </xf>
    <xf numFmtId="0" fontId="40" fillId="19" borderId="0">
      <alignment vertical="center"/>
    </xf>
    <xf numFmtId="0" fontId="41" fillId="20" borderId="0">
      <alignment vertical="center"/>
    </xf>
    <xf numFmtId="0" fontId="41" fillId="21" borderId="0">
      <alignment vertical="center"/>
    </xf>
    <xf numFmtId="0" fontId="40" fillId="22" borderId="0">
      <alignment vertical="center"/>
    </xf>
    <xf numFmtId="0" fontId="40" fillId="23" borderId="0">
      <alignment vertical="center"/>
    </xf>
    <xf numFmtId="0" fontId="41" fillId="24" borderId="0">
      <alignment vertical="center"/>
    </xf>
    <xf numFmtId="0" fontId="41" fillId="25" borderId="0">
      <alignment vertical="center"/>
    </xf>
    <xf numFmtId="0" fontId="40" fillId="26" borderId="0">
      <alignment vertical="center"/>
    </xf>
    <xf numFmtId="0" fontId="40" fillId="27" borderId="0">
      <alignment vertical="center"/>
    </xf>
    <xf numFmtId="0" fontId="41" fillId="28" borderId="0">
      <alignment vertical="center"/>
    </xf>
    <xf numFmtId="0" fontId="41" fillId="29" borderId="0">
      <alignment vertical="center"/>
    </xf>
    <xf numFmtId="0" fontId="40" fillId="30" borderId="0">
      <alignment vertical="center"/>
    </xf>
    <xf numFmtId="0" fontId="40" fillId="31" borderId="0">
      <alignment vertical="center"/>
    </xf>
    <xf numFmtId="0" fontId="41" fillId="32" borderId="0">
      <alignment vertical="center"/>
    </xf>
    <xf numFmtId="0" fontId="41" fillId="33" borderId="0">
      <alignment vertical="center"/>
    </xf>
    <xf numFmtId="0" fontId="40" fillId="34" borderId="0">
      <alignment vertical="center"/>
    </xf>
    <xf numFmtId="0" fontId="40" fillId="35" borderId="0">
      <alignment vertical="center"/>
    </xf>
    <xf numFmtId="0" fontId="41" fillId="36" borderId="0">
      <alignment vertical="center"/>
    </xf>
    <xf numFmtId="0" fontId="41" fillId="37" borderId="0">
      <alignment vertical="center"/>
    </xf>
    <xf numFmtId="0" fontId="40" fillId="38" borderId="0">
      <alignment vertical="center"/>
    </xf>
  </cellStyleXfs>
  <cellXfs count="10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2" fontId="4" fillId="0" borderId="0" xfId="0" applyNumberFormat="1" applyFont="1" applyAlignment="1">
      <alignment horizontal="center" vertical="center"/>
    </xf>
    <xf numFmtId="183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4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 wrapText="1"/>
    </xf>
    <xf numFmtId="182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82" fontId="6" fillId="0" borderId="2" xfId="0" applyNumberFormat="1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79" fontId="7" fillId="4" borderId="2" xfId="0" applyNumberFormat="1" applyFont="1" applyFill="1" applyBorder="1" applyAlignment="1">
      <alignment horizontal="center" vertical="center" wrapText="1"/>
    </xf>
    <xf numFmtId="181" fontId="7" fillId="4" borderId="2" xfId="0" applyNumberFormat="1" applyFont="1" applyFill="1" applyBorder="1" applyAlignment="1">
      <alignment horizontal="center" vertical="center" wrapText="1"/>
    </xf>
    <xf numFmtId="182" fontId="7" fillId="4" borderId="2" xfId="0" applyNumberFormat="1" applyFont="1" applyFill="1" applyBorder="1" applyAlignment="1">
      <alignment horizontal="center" vertical="center" wrapText="1"/>
    </xf>
    <xf numFmtId="183" fontId="7" fillId="4" borderId="2" xfId="0" applyNumberFormat="1" applyFont="1" applyFill="1" applyBorder="1" applyAlignment="1">
      <alignment horizontal="center" vertical="center" wrapText="1"/>
    </xf>
    <xf numFmtId="177" fontId="7" fillId="4" borderId="2" xfId="0" applyNumberFormat="1" applyFont="1" applyFill="1" applyBorder="1" applyAlignment="1">
      <alignment horizontal="center" vertical="center" wrapText="1"/>
    </xf>
    <xf numFmtId="184" fontId="7" fillId="4" borderId="2" xfId="0" applyNumberFormat="1" applyFont="1" applyFill="1" applyBorder="1" applyAlignment="1">
      <alignment horizontal="center" vertical="center" wrapText="1"/>
    </xf>
    <xf numFmtId="9" fontId="7" fillId="4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vertical="center" wrapText="1"/>
    </xf>
    <xf numFmtId="183" fontId="9" fillId="0" borderId="2" xfId="0" applyNumberFormat="1" applyFont="1" applyBorder="1" applyAlignment="1">
      <alignment horizontal="center" vertical="center" wrapText="1"/>
    </xf>
    <xf numFmtId="179" fontId="9" fillId="0" borderId="2" xfId="0" applyNumberFormat="1" applyFont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left"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183" fontId="7" fillId="0" borderId="2" xfId="0" applyNumberFormat="1" applyFont="1" applyBorder="1" applyAlignment="1">
      <alignment horizontal="center" vertical="center" wrapText="1"/>
    </xf>
    <xf numFmtId="183" fontId="7" fillId="0" borderId="2" xfId="0" applyNumberFormat="1" applyFont="1" applyBorder="1" applyAlignment="1">
      <alignment horizontal="right" vertical="center" wrapText="1"/>
    </xf>
    <xf numFmtId="179" fontId="7" fillId="0" borderId="2" xfId="0" applyNumberFormat="1" applyFont="1" applyBorder="1" applyAlignment="1">
      <alignment horizontal="right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left" vertical="center" wrapText="1"/>
    </xf>
    <xf numFmtId="183" fontId="4" fillId="0" borderId="2" xfId="0" applyNumberFormat="1" applyFont="1" applyBorder="1" applyAlignment="1">
      <alignment horizontal="center" vertical="center" wrapText="1"/>
    </xf>
    <xf numFmtId="179" fontId="4" fillId="0" borderId="2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184" fontId="4" fillId="0" borderId="2" xfId="0" applyNumberFormat="1" applyFont="1" applyBorder="1" applyAlignment="1">
      <alignment horizontal="center" vertical="center" wrapText="1"/>
    </xf>
    <xf numFmtId="183" fontId="4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9" fontId="7" fillId="0" borderId="2" xfId="0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4" fillId="6" borderId="3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177" fontId="14" fillId="0" borderId="0" xfId="0" applyNumberFormat="1" applyFont="1" applyAlignment="1">
      <alignment horizontal="center" vertical="center" wrapText="1"/>
    </xf>
    <xf numFmtId="177" fontId="5" fillId="0" borderId="3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82" fontId="5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vertical="center"/>
    </xf>
    <xf numFmtId="0" fontId="15" fillId="0" borderId="0" xfId="0" applyFont="1" applyAlignment="1">
      <alignment horizontal="center" vertical="center" wrapText="1"/>
    </xf>
    <xf numFmtId="43" fontId="16" fillId="0" borderId="0" xfId="0" applyNumberFormat="1" applyFont="1" applyAlignment="1">
      <alignment horizontal="center" vertical="center" wrapText="1"/>
    </xf>
    <xf numFmtId="0" fontId="0" fillId="0" borderId="0" xfId="0" applyAlignment="1"/>
    <xf numFmtId="0" fontId="17" fillId="0" borderId="1" xfId="0" applyFont="1" applyBorder="1" applyAlignment="1">
      <alignment horizontal="center" vertical="center" wrapText="1"/>
    </xf>
    <xf numFmtId="0" fontId="0" fillId="0" borderId="5" xfId="0" applyBorder="1" applyAlignment="1"/>
    <xf numFmtId="0" fontId="0" fillId="0" borderId="6" xfId="0" applyBorder="1" applyAlignment="1"/>
    <xf numFmtId="0" fontId="16" fillId="0" borderId="6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19" fillId="0" borderId="2" xfId="0" applyFont="1" applyBorder="1" applyAlignment="1">
      <alignment horizontal="center" vertical="center" textRotation="255" wrapText="1"/>
    </xf>
    <xf numFmtId="0" fontId="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82" fontId="20" fillId="0" borderId="2" xfId="0" applyNumberFormat="1" applyFont="1" applyBorder="1" applyAlignment="1">
      <alignment horizontal="left" vertical="center" wrapText="1"/>
    </xf>
    <xf numFmtId="3" fontId="21" fillId="0" borderId="2" xfId="0" applyNumberFormat="1" applyFont="1" applyBorder="1" applyAlignment="1">
      <alignment horizontal="center" vertical="center" wrapText="1"/>
    </xf>
    <xf numFmtId="0" fontId="0" fillId="0" borderId="10" xfId="0" applyBorder="1" applyAlignment="1"/>
    <xf numFmtId="0" fontId="6" fillId="0" borderId="2" xfId="0" applyFont="1" applyBorder="1" applyAlignment="1">
      <alignment horizontal="right" vertical="center" wrapText="1"/>
    </xf>
    <xf numFmtId="3" fontId="18" fillId="0" borderId="2" xfId="0" applyNumberFormat="1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right" vertical="center" wrapText="1"/>
    </xf>
    <xf numFmtId="3" fontId="18" fillId="4" borderId="2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numFmt numFmtId="0" formatCode="General"/>
      <fill>
        <patternFill patternType="solid">
          <bgColor rgb="FFFADADE"/>
        </patternFill>
      </fill>
    </dxf>
    <dxf>
      <fill>
        <patternFill patternType="solid">
          <bgColor rgb="FFFADADE"/>
        </patternFill>
      </fill>
    </dxf>
    <dxf>
      <font>
        <color rgb="FFC00000"/>
      </font>
    </dxf>
    <dxf>
      <fill>
        <patternFill patternType="solid">
          <bgColor rgb="FFFF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FFFF"/>
        </patternFill>
      </fill>
      <border>
        <left/>
        <right style="thin">
          <color rgb="FF4874CB"/>
        </right>
        <top style="thin">
          <color rgb="FF4874CB"/>
        </top>
        <bottom style="thin">
          <color rgb="FF4874CB"/>
        </bottom>
        <vertical/>
        <horizontal/>
      </border>
    </dxf>
    <dxf>
      <font>
        <b val="1"/>
        <sz val="11"/>
        <color rgb="FF4874CB"/>
      </font>
      <fill>
        <patternFill patternType="solid">
          <bgColor rgb="FFFFFFFF"/>
        </patternFill>
      </fill>
      <border>
        <left style="thin">
          <color rgb="FF4874CB"/>
        </left>
        <right/>
        <top style="thin">
          <color rgb="FF4874CB"/>
        </top>
        <bottom style="thin">
          <color rgb="FF4874CB"/>
        </bottom>
        <vertical/>
        <horizontal/>
      </border>
    </dxf>
    <dxf>
      <border>
        <left style="thin">
          <color rgb="FFB5C6EA"/>
        </left>
        <right style="thin">
          <color rgb="FFB5C6EA"/>
        </right>
        <top style="thin">
          <color rgb="FF4874CB"/>
        </top>
        <bottom style="thin">
          <color rgb="FF4874CB"/>
        </bottom>
        <vertical/>
        <horizontal style="thin">
          <color rgb="FFB5C6EA"/>
        </horizontal>
      </border>
    </dxf>
    <dxf>
      <fill>
        <patternFill patternType="solid">
          <bgColor rgb="FFEBF0FA"/>
        </patternFill>
      </fill>
    </dxf>
    <dxf>
      <fill>
        <patternFill patternType="solid">
          <bgColor rgb="FFEBF0FA"/>
        </patternFill>
      </fill>
    </dxf>
    <dxf>
      <font>
        <b val="1"/>
        <sz val="11"/>
        <color rgb="FF08090C"/>
      </font>
      <fill>
        <patternFill patternType="solid">
          <bgColor rgb="FFD9E1F4"/>
        </patternFill>
      </fill>
      <border>
        <left style="thin">
          <color rgb="FFB5C6EA"/>
        </left>
        <right style="thin">
          <color rgb="FF4874CB"/>
        </right>
        <top style="thin">
          <color rgb="FF4874CB"/>
        </top>
        <bottom style="thin">
          <color rgb="FF4874CB"/>
        </bottom>
        <vertical/>
        <horizontal style="thin">
          <color rgb="FFB5C6EA"/>
        </horizontal>
      </border>
    </dxf>
    <dxf>
      <font>
        <b val="1"/>
        <sz val="11"/>
        <color rgb="FF08090C"/>
      </font>
      <fill>
        <patternFill patternType="solid">
          <bgColor rgb="FFD9E1F4"/>
        </patternFill>
      </fill>
      <border>
        <left style="thin">
          <color rgb="FF4874CB"/>
        </left>
        <right style="thin">
          <color rgb="FFB5C6EA"/>
        </right>
        <top style="thin">
          <color rgb="FF4874CB"/>
        </top>
        <bottom style="thin">
          <color rgb="FF4874CB"/>
        </bottom>
        <vertical/>
        <horizontal style="thin">
          <color rgb="FFB5C6EA"/>
        </horizontal>
      </border>
    </dxf>
    <dxf>
      <font>
        <b val="1"/>
        <sz val="11"/>
        <color rgb="FF4874CB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/>
        <horizontal/>
      </border>
    </dxf>
    <dxf>
      <font>
        <b val="1"/>
        <sz val="11"/>
        <color rgb="FFFFFFFF"/>
      </font>
      <fill>
        <patternFill patternType="solid">
          <bgColor rgb="FF4874CB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 style="thin">
          <color rgb="FFB5C6EA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 style="thin">
          <color rgb="FFB5C6EA"/>
        </vertical>
        <horizontal style="thin">
          <color rgb="FFB5C6EA"/>
        </horizontal>
      </border>
    </dxf>
    <dxf>
      <font>
        <color rgb="FFFFFFFF"/>
      </font>
      <fill>
        <patternFill patternType="solid">
          <fgColor rgb="FF4874CB"/>
          <bgColor rgb="FF4874CB"/>
        </patternFill>
      </fill>
      <border>
        <left/>
        <right/>
        <top/>
        <bottom/>
        <horizontal style="thin">
          <color rgb="FF1E366A"/>
        </horizontal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  <border>
        <left/>
        <right/>
        <top/>
        <bottom/>
        <horizontal style="thin">
          <color rgb="FF1E366A"/>
        </horizontal>
      </border>
    </dxf>
    <dxf>
      <font>
        <b val="1"/>
        <color rgb="FF000000"/>
      </font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</dxf>
    <dxf>
      <border>
        <left style="thin">
          <color rgb="FF91AADF"/>
        </left>
        <right style="thin">
          <color rgb="FF91AADF"/>
        </right>
        <top/>
        <bottom/>
      </border>
    </dxf>
    <dxf>
      <border>
        <left/>
        <right/>
        <top style="thin">
          <color rgb="FF91AADF"/>
        </top>
        <bottom style="thin">
          <color rgb="FF91AADF"/>
        </bottom>
        <horizontal style="thin">
          <color rgb="FF91AADF"/>
        </horizontal>
      </border>
    </dxf>
    <dxf>
      <font>
        <b val="1"/>
      </font>
      <border>
        <left/>
        <right/>
        <top style="thin">
          <color rgb="FF2D529F"/>
        </top>
        <bottom style="medium">
          <color rgb="FF2D529F"/>
        </bottom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  <border>
        <left/>
        <right/>
        <top style="thin">
          <color rgb="FF4874CB"/>
        </top>
        <bottom/>
      </border>
    </dxf>
    <dxf>
      <font>
        <color rgb="FF000000"/>
      </font>
    </dxf>
  </dxfs>
  <tableStyles count="2" defaultTableStyle="TableStyleMedium2" defaultPivotStyle="PivotStyleLight16">
    <tableStyle name="中色系标题行镶边行表格样式_676304" count="10" xr9:uid="{16E6A768-93DB-4A0F-975C-447B2F021B65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secondRowStripe" dxfId="9"/>
      <tableStyleElement type="firstColumnStripe" dxfId="8"/>
      <tableStyleElement type="secondColumnStripe" dxfId="7"/>
      <tableStyleElement type="firstTotalCell" dxfId="6"/>
      <tableStyleElement type="lastTotalCell" dxfId="5"/>
    </tableStyle>
    <tableStyle name="PivotStylePreset3_Accent1 1" table="0" count="10" xr9:uid="{8E2B2931-7BB2-441B-829C-5CC5065913B8}">
      <tableStyleElement type="wholeTable" dxfId="24"/>
      <tableStyleElement type="headerRow" dxfId="23"/>
      <tableStyleElement type="totalRow" dxfId="22"/>
      <tableStyleElement type="secondRowStripe" dxfId="21"/>
      <tableStyleElement type="secondColumnStripe" dxfId="20"/>
      <tableStyleElement type="first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358358</xdr:colOff>
      <xdr:row>1</xdr:row>
      <xdr:rowOff>329455</xdr:rowOff>
    </xdr:to>
    <xdr:pic>
      <xdr:nvPicPr>
        <xdr:cNvPr id="3" name="图片 6" descr="333639373139373b343435303836363bcafdbeddcdb3bcc6"/>
        <xdr:cNvPicPr/>
      </xdr:nvPicPr>
      <xdr:blipFill>
        <a:blip r:embed="rId1"/>
        <a:srcRect/>
        <a:stretch>
          <a:fillRect/>
        </a:stretch>
      </xdr:blipFill>
      <xdr:spPr>
        <a:xfrm>
          <a:off x="160020" y="165100"/>
          <a:ext cx="358140" cy="328930"/>
        </a:xfrm>
        <a:prstGeom prst="rect">
          <a:avLst/>
        </a:prstGeom>
        <a:noFill/>
        <a:ln w="9525" cap="flat" cmpd="sng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showGridLines="0" zoomScale="90" zoomScaleNormal="90" workbookViewId="0">
      <pane ySplit="3" topLeftCell="A4" activePane="bottomLeft" state="frozen"/>
      <selection/>
      <selection pane="bottomLeft" activeCell="A1" sqref="A1:H1"/>
    </sheetView>
  </sheetViews>
  <sheetFormatPr defaultColWidth="9" defaultRowHeight="23" customHeight="1"/>
  <cols>
    <col min="1" max="1" width="12" style="81" customWidth="1"/>
    <col min="2" max="2" width="16" style="18" customWidth="1"/>
    <col min="3" max="3" width="12" style="18" customWidth="1"/>
    <col min="4" max="4" width="24" style="18" customWidth="1"/>
    <col min="5" max="5" width="26" style="18" customWidth="1"/>
    <col min="6" max="6" width="28" style="18" customWidth="1"/>
    <col min="7" max="7" width="20" style="18" customWidth="1"/>
    <col min="8" max="8" width="34" style="18" customWidth="1"/>
    <col min="9" max="9" width="12" style="82" customWidth="1"/>
    <col min="10" max="11" width="12" style="83" customWidth="1"/>
    <col min="12" max="13" width="12" style="82" customWidth="1"/>
    <col min="14" max="15" width="12" style="83" customWidth="1"/>
    <col min="16" max="17" width="12" style="82" customWidth="1"/>
    <col min="18" max="18" width="12" style="83" customWidth="1"/>
    <col min="19" max="20" width="12" style="82" customWidth="1"/>
    <col min="21" max="21" width="13.75" style="18" customWidth="1"/>
    <col min="22" max="16373" width="8.88888888888889" style="18" customWidth="1"/>
    <col min="16374" max="16384" width="9" style="18" customWidth="1"/>
  </cols>
  <sheetData>
    <row r="1" s="18" customFormat="1" ht="20.4" spans="1:20">
      <c r="A1" s="84"/>
      <c r="B1" s="85"/>
      <c r="C1" s="85"/>
      <c r="D1" s="85"/>
      <c r="E1" s="85"/>
      <c r="F1" s="85"/>
      <c r="G1" s="85"/>
      <c r="H1" s="86"/>
      <c r="I1" s="87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</row>
    <row r="2" s="18" customFormat="1" ht="15.6" spans="1:20">
      <c r="A2" s="88" t="s">
        <v>0</v>
      </c>
      <c r="B2" s="89" t="s">
        <v>1</v>
      </c>
      <c r="C2" s="89" t="s">
        <v>2</v>
      </c>
      <c r="D2" s="89" t="s">
        <v>3</v>
      </c>
      <c r="E2" s="89" t="s">
        <v>4</v>
      </c>
      <c r="F2" s="89" t="s">
        <v>5</v>
      </c>
      <c r="G2" s="89" t="s">
        <v>6</v>
      </c>
      <c r="H2" s="90" t="s">
        <v>7</v>
      </c>
      <c r="I2" s="91" t="s">
        <v>8</v>
      </c>
      <c r="J2" s="92"/>
      <c r="K2" s="92"/>
      <c r="L2" s="92"/>
      <c r="M2" s="92"/>
      <c r="N2" s="92"/>
      <c r="O2" s="92"/>
      <c r="P2" s="92"/>
      <c r="Q2" s="92"/>
      <c r="R2" s="92"/>
      <c r="S2" s="92"/>
      <c r="T2" s="93"/>
    </row>
    <row r="3" s="18" customFormat="1" ht="22" customHeight="1" spans="1:20">
      <c r="A3" s="94"/>
      <c r="B3" s="94"/>
      <c r="C3" s="94"/>
      <c r="D3" s="94"/>
      <c r="E3" s="94"/>
      <c r="F3" s="94"/>
      <c r="G3" s="94"/>
      <c r="H3" s="94"/>
      <c r="I3" s="91" t="s">
        <v>9</v>
      </c>
      <c r="J3" s="91" t="s">
        <v>10</v>
      </c>
      <c r="K3" s="91" t="s">
        <v>11</v>
      </c>
      <c r="L3" s="91" t="s">
        <v>12</v>
      </c>
      <c r="M3" s="91" t="s">
        <v>13</v>
      </c>
      <c r="N3" s="91" t="s">
        <v>14</v>
      </c>
      <c r="O3" s="91" t="s">
        <v>15</v>
      </c>
      <c r="P3" s="91" t="s">
        <v>16</v>
      </c>
      <c r="Q3" s="91" t="s">
        <v>17</v>
      </c>
      <c r="R3" s="91" t="s">
        <v>18</v>
      </c>
      <c r="S3" s="91" t="s">
        <v>19</v>
      </c>
      <c r="T3" s="91" t="s">
        <v>20</v>
      </c>
    </row>
    <row r="4" ht="24" customHeight="1" spans="1:20">
      <c r="A4" s="95" t="s">
        <v>21</v>
      </c>
      <c r="B4" s="96">
        <v>1</v>
      </c>
      <c r="C4" s="97" t="s">
        <v>22</v>
      </c>
      <c r="D4" s="97" t="s">
        <v>23</v>
      </c>
      <c r="E4" s="97" t="s">
        <v>24</v>
      </c>
      <c r="F4" s="97" t="s">
        <v>25</v>
      </c>
      <c r="G4" s="96" t="s">
        <v>26</v>
      </c>
      <c r="H4" s="98" t="s">
        <v>27</v>
      </c>
      <c r="I4" s="99"/>
      <c r="J4" s="99">
        <v>500000</v>
      </c>
      <c r="K4" s="99"/>
      <c r="L4" s="99"/>
      <c r="M4" s="99"/>
      <c r="N4" s="99"/>
      <c r="O4" s="99"/>
      <c r="P4" s="99"/>
      <c r="Q4" s="99"/>
      <c r="R4" s="99"/>
      <c r="S4" s="99"/>
      <c r="T4" s="99"/>
    </row>
    <row r="5" ht="24" customHeight="1" spans="1:20">
      <c r="A5" s="100"/>
      <c r="B5" s="96">
        <v>2</v>
      </c>
      <c r="C5" s="97" t="s">
        <v>22</v>
      </c>
      <c r="D5" s="97" t="s">
        <v>28</v>
      </c>
      <c r="E5" s="97" t="s">
        <v>29</v>
      </c>
      <c r="F5" s="97" t="s">
        <v>30</v>
      </c>
      <c r="G5" s="96" t="s">
        <v>31</v>
      </c>
      <c r="H5" s="98" t="s">
        <v>32</v>
      </c>
      <c r="I5" s="99"/>
      <c r="J5" s="99"/>
      <c r="K5" s="99"/>
      <c r="L5" s="99"/>
      <c r="M5" s="99">
        <v>780000</v>
      </c>
      <c r="N5" s="99"/>
      <c r="O5" s="99"/>
      <c r="P5" s="99"/>
      <c r="Q5" s="99"/>
      <c r="R5" s="99"/>
      <c r="S5" s="99"/>
      <c r="T5" s="99"/>
    </row>
    <row r="6" ht="24" customHeight="1" spans="1:20">
      <c r="A6" s="100"/>
      <c r="B6" s="96">
        <v>3</v>
      </c>
      <c r="C6" s="97" t="s">
        <v>22</v>
      </c>
      <c r="D6" s="97" t="s">
        <v>33</v>
      </c>
      <c r="E6" s="97" t="s">
        <v>34</v>
      </c>
      <c r="F6" s="97" t="s">
        <v>35</v>
      </c>
      <c r="G6" s="96" t="s">
        <v>36</v>
      </c>
      <c r="H6" s="98" t="s">
        <v>37</v>
      </c>
      <c r="I6" s="99"/>
      <c r="J6" s="99"/>
      <c r="K6" s="99"/>
      <c r="L6" s="99"/>
      <c r="M6" s="99"/>
      <c r="N6" s="99">
        <v>450000</v>
      </c>
      <c r="O6" s="99"/>
      <c r="P6" s="99"/>
      <c r="Q6" s="99"/>
      <c r="R6" s="99"/>
      <c r="S6" s="99"/>
      <c r="T6" s="99"/>
    </row>
    <row r="7" ht="24" customHeight="1" spans="1:20">
      <c r="A7" s="100"/>
      <c r="B7" s="96">
        <v>4</v>
      </c>
      <c r="C7" s="97" t="s">
        <v>22</v>
      </c>
      <c r="D7" s="97" t="s">
        <v>38</v>
      </c>
      <c r="E7" s="97" t="s">
        <v>39</v>
      </c>
      <c r="F7" s="97" t="s">
        <v>40</v>
      </c>
      <c r="G7" s="96" t="s">
        <v>41</v>
      </c>
      <c r="H7" s="98" t="s">
        <v>42</v>
      </c>
      <c r="I7" s="99"/>
      <c r="J7" s="99"/>
      <c r="K7" s="99"/>
      <c r="L7" s="99"/>
      <c r="M7" s="99"/>
      <c r="N7" s="99"/>
      <c r="O7" s="99">
        <v>68000</v>
      </c>
      <c r="P7" s="99"/>
      <c r="Q7" s="99"/>
      <c r="R7" s="99"/>
      <c r="S7" s="99"/>
      <c r="T7" s="99"/>
    </row>
    <row r="8" ht="28" customHeight="1" spans="1:20">
      <c r="A8" s="100"/>
      <c r="B8" s="101" t="s">
        <v>43</v>
      </c>
      <c r="C8" s="92"/>
      <c r="D8" s="92"/>
      <c r="E8" s="92"/>
      <c r="F8" s="92"/>
      <c r="G8" s="92"/>
      <c r="H8" s="93"/>
      <c r="I8" s="102">
        <f t="shared" ref="I8:T8" si="0">SUM(I4:I7)</f>
        <v>0</v>
      </c>
      <c r="J8" s="102">
        <f t="shared" si="0"/>
        <v>500000</v>
      </c>
      <c r="K8" s="102">
        <f t="shared" si="0"/>
        <v>0</v>
      </c>
      <c r="L8" s="102">
        <f t="shared" si="0"/>
        <v>0</v>
      </c>
      <c r="M8" s="102">
        <f t="shared" si="0"/>
        <v>780000</v>
      </c>
      <c r="N8" s="102">
        <f t="shared" si="0"/>
        <v>450000</v>
      </c>
      <c r="O8" s="102">
        <f t="shared" si="0"/>
        <v>68000</v>
      </c>
      <c r="P8" s="102">
        <f t="shared" si="0"/>
        <v>0</v>
      </c>
      <c r="Q8" s="102">
        <f t="shared" si="0"/>
        <v>0</v>
      </c>
      <c r="R8" s="102">
        <f t="shared" si="0"/>
        <v>0</v>
      </c>
      <c r="S8" s="102">
        <f t="shared" si="0"/>
        <v>0</v>
      </c>
      <c r="T8" s="102">
        <f t="shared" si="0"/>
        <v>0</v>
      </c>
    </row>
    <row r="9" ht="28" customHeight="1" spans="1:20">
      <c r="A9" s="100"/>
      <c r="B9" s="101" t="s">
        <v>44</v>
      </c>
      <c r="C9" s="92"/>
      <c r="D9" s="92"/>
      <c r="E9" s="92"/>
      <c r="F9" s="92"/>
      <c r="G9" s="92"/>
      <c r="H9" s="93"/>
      <c r="I9" s="102">
        <f>SUM(I8:K8)</f>
        <v>500000</v>
      </c>
      <c r="J9" s="92"/>
      <c r="K9" s="93"/>
      <c r="L9" s="102">
        <f>SUM(L8:N8)</f>
        <v>1230000</v>
      </c>
      <c r="M9" s="92"/>
      <c r="N9" s="93"/>
      <c r="O9" s="102">
        <f>SUM(O8:Q8)</f>
        <v>68000</v>
      </c>
      <c r="P9" s="92"/>
      <c r="Q9" s="93"/>
      <c r="R9" s="102">
        <f>SUM(R8:T8)</f>
        <v>0</v>
      </c>
      <c r="S9" s="92"/>
      <c r="T9" s="93"/>
    </row>
    <row r="10" ht="28" customHeight="1" spans="1:20">
      <c r="A10" s="100"/>
      <c r="B10" s="101" t="s">
        <v>45</v>
      </c>
      <c r="C10" s="92"/>
      <c r="D10" s="92"/>
      <c r="E10" s="92"/>
      <c r="F10" s="92"/>
      <c r="G10" s="92"/>
      <c r="H10" s="93"/>
      <c r="I10" s="102">
        <f>SUM(I8:T8)</f>
        <v>1798000</v>
      </c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3"/>
    </row>
    <row r="11" ht="28" customHeight="1" spans="1:20">
      <c r="A11" s="100"/>
      <c r="B11" s="103" t="s">
        <v>46</v>
      </c>
      <c r="C11" s="92"/>
      <c r="D11" s="92"/>
      <c r="E11" s="92"/>
      <c r="F11" s="92"/>
      <c r="G11" s="92"/>
      <c r="H11" s="93"/>
      <c r="I11" s="104">
        <f t="shared" ref="I11:T11" si="1">SUM(I8)</f>
        <v>0</v>
      </c>
      <c r="J11" s="104">
        <f t="shared" si="1"/>
        <v>500000</v>
      </c>
      <c r="K11" s="104">
        <f t="shared" si="1"/>
        <v>0</v>
      </c>
      <c r="L11" s="104">
        <f t="shared" si="1"/>
        <v>0</v>
      </c>
      <c r="M11" s="104">
        <f t="shared" si="1"/>
        <v>780000</v>
      </c>
      <c r="N11" s="104">
        <f t="shared" si="1"/>
        <v>450000</v>
      </c>
      <c r="O11" s="104">
        <f t="shared" si="1"/>
        <v>68000</v>
      </c>
      <c r="P11" s="104">
        <f t="shared" si="1"/>
        <v>0</v>
      </c>
      <c r="Q11" s="104">
        <f t="shared" si="1"/>
        <v>0</v>
      </c>
      <c r="R11" s="104">
        <f t="shared" si="1"/>
        <v>0</v>
      </c>
      <c r="S11" s="104">
        <f t="shared" si="1"/>
        <v>0</v>
      </c>
      <c r="T11" s="104">
        <f t="shared" si="1"/>
        <v>0</v>
      </c>
    </row>
    <row r="12" ht="28" customHeight="1" spans="1:20">
      <c r="A12" s="100"/>
      <c r="B12" s="103" t="s">
        <v>47</v>
      </c>
      <c r="C12" s="92"/>
      <c r="D12" s="92"/>
      <c r="E12" s="92"/>
      <c r="F12" s="92"/>
      <c r="G12" s="92"/>
      <c r="H12" s="93"/>
      <c r="I12" s="104">
        <f>SUM(I11:K11)</f>
        <v>500000</v>
      </c>
      <c r="J12" s="92"/>
      <c r="K12" s="93"/>
      <c r="L12" s="104">
        <f>SUM(L11:N11)</f>
        <v>1230000</v>
      </c>
      <c r="M12" s="92"/>
      <c r="N12" s="93"/>
      <c r="O12" s="104">
        <f>SUM(O11:Q11)</f>
        <v>68000</v>
      </c>
      <c r="P12" s="92"/>
      <c r="Q12" s="93"/>
      <c r="R12" s="104">
        <f>SUM(R11:T11)</f>
        <v>0</v>
      </c>
      <c r="S12" s="92"/>
      <c r="T12" s="93"/>
    </row>
    <row r="13" ht="28" customHeight="1" spans="1:20">
      <c r="A13" s="94"/>
      <c r="B13" s="103" t="s">
        <v>48</v>
      </c>
      <c r="C13" s="92"/>
      <c r="D13" s="92"/>
      <c r="E13" s="92"/>
      <c r="F13" s="92"/>
      <c r="G13" s="92"/>
      <c r="H13" s="93"/>
      <c r="I13" s="104">
        <f>SUM(I11:T11)</f>
        <v>1798000</v>
      </c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3"/>
    </row>
    <row r="14" ht="18" customHeight="1" spans="1:20">
      <c r="A14" s="105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3"/>
    </row>
    <row r="15" ht="24" customHeight="1" spans="1:20">
      <c r="A15" s="95" t="s">
        <v>49</v>
      </c>
      <c r="B15" s="96">
        <v>1</v>
      </c>
      <c r="C15" s="97" t="s">
        <v>23</v>
      </c>
      <c r="D15" s="97" t="s">
        <v>23</v>
      </c>
      <c r="E15" s="97" t="s">
        <v>24</v>
      </c>
      <c r="F15" s="97" t="s">
        <v>25</v>
      </c>
      <c r="G15" s="96" t="s">
        <v>26</v>
      </c>
      <c r="H15" s="98" t="s">
        <v>27</v>
      </c>
      <c r="I15" s="99"/>
      <c r="J15" s="99">
        <v>500000</v>
      </c>
      <c r="K15" s="99"/>
      <c r="L15" s="99"/>
      <c r="M15" s="99"/>
      <c r="N15" s="99"/>
      <c r="O15" s="99"/>
      <c r="P15" s="99"/>
      <c r="Q15" s="99"/>
      <c r="R15" s="99"/>
      <c r="S15" s="99"/>
      <c r="T15" s="99"/>
    </row>
    <row r="16" ht="24" customHeight="1" spans="1:20">
      <c r="A16" s="100"/>
      <c r="B16" s="96">
        <v>2</v>
      </c>
      <c r="C16" s="97" t="s">
        <v>23</v>
      </c>
      <c r="D16" s="97" t="s">
        <v>28</v>
      </c>
      <c r="E16" s="97" t="s">
        <v>29</v>
      </c>
      <c r="F16" s="97" t="s">
        <v>30</v>
      </c>
      <c r="G16" s="96" t="s">
        <v>31</v>
      </c>
      <c r="H16" s="98" t="s">
        <v>32</v>
      </c>
      <c r="I16" s="99"/>
      <c r="J16" s="99"/>
      <c r="K16" s="99"/>
      <c r="L16" s="99"/>
      <c r="M16" s="99">
        <v>780000</v>
      </c>
      <c r="N16" s="99"/>
      <c r="O16" s="99"/>
      <c r="P16" s="99"/>
      <c r="Q16" s="99"/>
      <c r="R16" s="99"/>
      <c r="S16" s="99"/>
      <c r="T16" s="99"/>
    </row>
    <row r="17" ht="24" customHeight="1" spans="1:20">
      <c r="A17" s="100"/>
      <c r="B17" s="96">
        <v>3</v>
      </c>
      <c r="C17" s="97" t="s">
        <v>23</v>
      </c>
      <c r="D17" s="97" t="s">
        <v>33</v>
      </c>
      <c r="E17" s="97" t="s">
        <v>34</v>
      </c>
      <c r="F17" s="97" t="s">
        <v>35</v>
      </c>
      <c r="G17" s="96" t="s">
        <v>36</v>
      </c>
      <c r="H17" s="98" t="s">
        <v>37</v>
      </c>
      <c r="I17" s="99"/>
      <c r="J17" s="99"/>
      <c r="K17" s="99">
        <v>600000</v>
      </c>
      <c r="L17" s="99"/>
      <c r="M17" s="99"/>
      <c r="N17" s="99">
        <v>450000</v>
      </c>
      <c r="O17" s="99"/>
      <c r="P17" s="99"/>
      <c r="Q17" s="99"/>
      <c r="R17" s="99"/>
      <c r="S17" s="99"/>
      <c r="T17" s="99"/>
    </row>
    <row r="18" ht="24" customHeight="1" spans="1:20">
      <c r="A18" s="100"/>
      <c r="B18" s="96">
        <v>4</v>
      </c>
      <c r="C18" s="97" t="s">
        <v>23</v>
      </c>
      <c r="D18" s="97" t="s">
        <v>38</v>
      </c>
      <c r="E18" s="97" t="s">
        <v>39</v>
      </c>
      <c r="F18" s="97" t="s">
        <v>40</v>
      </c>
      <c r="G18" s="96" t="s">
        <v>41</v>
      </c>
      <c r="H18" s="98" t="s">
        <v>42</v>
      </c>
      <c r="I18" s="99"/>
      <c r="J18" s="99"/>
      <c r="K18" s="99"/>
      <c r="L18" s="99"/>
      <c r="M18" s="99"/>
      <c r="N18" s="99"/>
      <c r="O18" s="99">
        <v>68000</v>
      </c>
      <c r="P18" s="99"/>
      <c r="Q18" s="99"/>
      <c r="R18" s="99"/>
      <c r="S18" s="99"/>
      <c r="T18" s="99"/>
    </row>
    <row r="19" ht="28" customHeight="1" spans="1:20">
      <c r="A19" s="100"/>
      <c r="B19" s="101" t="s">
        <v>43</v>
      </c>
      <c r="C19" s="92"/>
      <c r="D19" s="92"/>
      <c r="E19" s="92"/>
      <c r="F19" s="92"/>
      <c r="G19" s="92"/>
      <c r="H19" s="93"/>
      <c r="I19" s="102">
        <f t="shared" ref="I19:T19" si="2">SUM(I15:I18)</f>
        <v>0</v>
      </c>
      <c r="J19" s="102">
        <f t="shared" si="2"/>
        <v>500000</v>
      </c>
      <c r="K19" s="102">
        <f t="shared" si="2"/>
        <v>600000</v>
      </c>
      <c r="L19" s="102">
        <f t="shared" si="2"/>
        <v>0</v>
      </c>
      <c r="M19" s="102">
        <f t="shared" si="2"/>
        <v>780000</v>
      </c>
      <c r="N19" s="102">
        <f t="shared" si="2"/>
        <v>450000</v>
      </c>
      <c r="O19" s="102">
        <f t="shared" si="2"/>
        <v>68000</v>
      </c>
      <c r="P19" s="102">
        <f t="shared" si="2"/>
        <v>0</v>
      </c>
      <c r="Q19" s="102">
        <f t="shared" si="2"/>
        <v>0</v>
      </c>
      <c r="R19" s="102">
        <f t="shared" si="2"/>
        <v>0</v>
      </c>
      <c r="S19" s="102">
        <f t="shared" si="2"/>
        <v>0</v>
      </c>
      <c r="T19" s="102">
        <f t="shared" si="2"/>
        <v>0</v>
      </c>
    </row>
    <row r="20" ht="28" customHeight="1" spans="1:20">
      <c r="A20" s="100"/>
      <c r="B20" s="101" t="s">
        <v>44</v>
      </c>
      <c r="C20" s="92"/>
      <c r="D20" s="92"/>
      <c r="E20" s="92"/>
      <c r="F20" s="92"/>
      <c r="G20" s="92"/>
      <c r="H20" s="93"/>
      <c r="I20" s="102">
        <f>SUM(I19:K19)</f>
        <v>1100000</v>
      </c>
      <c r="J20" s="92"/>
      <c r="K20" s="93"/>
      <c r="L20" s="102">
        <f>SUM(L19:N19)</f>
        <v>1230000</v>
      </c>
      <c r="M20" s="92"/>
      <c r="N20" s="93"/>
      <c r="O20" s="102">
        <f>SUM(O19:Q19)</f>
        <v>68000</v>
      </c>
      <c r="P20" s="92"/>
      <c r="Q20" s="93"/>
      <c r="R20" s="102">
        <f>SUM(R19:T19)</f>
        <v>0</v>
      </c>
      <c r="S20" s="92"/>
      <c r="T20" s="93"/>
    </row>
    <row r="21" ht="28" customHeight="1" spans="1:20">
      <c r="A21" s="100"/>
      <c r="B21" s="101" t="s">
        <v>45</v>
      </c>
      <c r="C21" s="92"/>
      <c r="D21" s="92"/>
      <c r="E21" s="92"/>
      <c r="F21" s="92"/>
      <c r="G21" s="92"/>
      <c r="H21" s="93"/>
      <c r="I21" s="102">
        <f>SUM(I19:T19)</f>
        <v>2398000</v>
      </c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3"/>
    </row>
    <row r="22" ht="28" customHeight="1" spans="1:20">
      <c r="A22" s="100"/>
      <c r="B22" s="103" t="s">
        <v>46</v>
      </c>
      <c r="C22" s="92"/>
      <c r="D22" s="92"/>
      <c r="E22" s="92"/>
      <c r="F22" s="92"/>
      <c r="G22" s="92"/>
      <c r="H22" s="93"/>
      <c r="I22" s="104">
        <f t="shared" ref="I22:T22" si="3">SUM(I19)</f>
        <v>0</v>
      </c>
      <c r="J22" s="104">
        <f t="shared" si="3"/>
        <v>500000</v>
      </c>
      <c r="K22" s="104">
        <f t="shared" si="3"/>
        <v>600000</v>
      </c>
      <c r="L22" s="104">
        <f t="shared" si="3"/>
        <v>0</v>
      </c>
      <c r="M22" s="104">
        <f t="shared" si="3"/>
        <v>780000</v>
      </c>
      <c r="N22" s="104">
        <f t="shared" si="3"/>
        <v>450000</v>
      </c>
      <c r="O22" s="104">
        <f t="shared" si="3"/>
        <v>68000</v>
      </c>
      <c r="P22" s="104">
        <f t="shared" si="3"/>
        <v>0</v>
      </c>
      <c r="Q22" s="104">
        <f t="shared" si="3"/>
        <v>0</v>
      </c>
      <c r="R22" s="104">
        <f t="shared" si="3"/>
        <v>0</v>
      </c>
      <c r="S22" s="104">
        <f t="shared" si="3"/>
        <v>0</v>
      </c>
      <c r="T22" s="104">
        <f t="shared" si="3"/>
        <v>0</v>
      </c>
    </row>
    <row r="23" ht="28" customHeight="1" spans="1:20">
      <c r="A23" s="100"/>
      <c r="B23" s="103" t="s">
        <v>47</v>
      </c>
      <c r="C23" s="92"/>
      <c r="D23" s="92"/>
      <c r="E23" s="92"/>
      <c r="F23" s="92"/>
      <c r="G23" s="92"/>
      <c r="H23" s="93"/>
      <c r="I23" s="104">
        <f>SUM(I22:K22)</f>
        <v>1100000</v>
      </c>
      <c r="J23" s="92"/>
      <c r="K23" s="93"/>
      <c r="L23" s="104">
        <f>SUM(L22:N22)</f>
        <v>1230000</v>
      </c>
      <c r="M23" s="92"/>
      <c r="N23" s="93"/>
      <c r="O23" s="104">
        <f>SUM(O22:Q22)</f>
        <v>68000</v>
      </c>
      <c r="P23" s="92"/>
      <c r="Q23" s="93"/>
      <c r="R23" s="104">
        <f>SUM(R22:T22)</f>
        <v>0</v>
      </c>
      <c r="S23" s="92"/>
      <c r="T23" s="93"/>
    </row>
    <row r="24" ht="28" customHeight="1" spans="1:20">
      <c r="A24" s="94"/>
      <c r="B24" s="103" t="s">
        <v>48</v>
      </c>
      <c r="C24" s="92"/>
      <c r="D24" s="92"/>
      <c r="E24" s="92"/>
      <c r="F24" s="92"/>
      <c r="G24" s="92"/>
      <c r="H24" s="93"/>
      <c r="I24" s="104">
        <f>SUM(I22:T22)</f>
        <v>2398000</v>
      </c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3"/>
    </row>
    <row r="25" ht="28" customHeight="1" spans="1:20">
      <c r="A25" s="106" t="s">
        <v>50</v>
      </c>
      <c r="B25" s="92"/>
      <c r="C25" s="92"/>
      <c r="D25" s="92"/>
      <c r="E25" s="92"/>
      <c r="F25" s="92"/>
      <c r="G25" s="92"/>
      <c r="H25" s="93"/>
      <c r="I25" s="104">
        <f t="shared" ref="I25:T25" si="4">SUM(I11,I22)</f>
        <v>0</v>
      </c>
      <c r="J25" s="104">
        <f t="shared" si="4"/>
        <v>1000000</v>
      </c>
      <c r="K25" s="104">
        <f t="shared" si="4"/>
        <v>600000</v>
      </c>
      <c r="L25" s="104">
        <f t="shared" si="4"/>
        <v>0</v>
      </c>
      <c r="M25" s="104">
        <f t="shared" si="4"/>
        <v>1560000</v>
      </c>
      <c r="N25" s="104">
        <f t="shared" si="4"/>
        <v>900000</v>
      </c>
      <c r="O25" s="104">
        <f t="shared" si="4"/>
        <v>136000</v>
      </c>
      <c r="P25" s="104">
        <f t="shared" si="4"/>
        <v>0</v>
      </c>
      <c r="Q25" s="104">
        <f t="shared" si="4"/>
        <v>0</v>
      </c>
      <c r="R25" s="104">
        <f t="shared" si="4"/>
        <v>0</v>
      </c>
      <c r="S25" s="104">
        <f t="shared" si="4"/>
        <v>0</v>
      </c>
      <c r="T25" s="104">
        <f t="shared" si="4"/>
        <v>0</v>
      </c>
    </row>
    <row r="26" ht="28" customHeight="1" spans="1:20">
      <c r="A26" s="106" t="s">
        <v>51</v>
      </c>
      <c r="B26" s="92"/>
      <c r="C26" s="92"/>
      <c r="D26" s="92"/>
      <c r="E26" s="92"/>
      <c r="F26" s="92"/>
      <c r="G26" s="92"/>
      <c r="H26" s="93"/>
      <c r="I26" s="104">
        <f>SUM(I25:K25)</f>
        <v>1600000</v>
      </c>
      <c r="J26" s="92"/>
      <c r="K26" s="93"/>
      <c r="L26" s="104">
        <f>SUM(L25:N25)</f>
        <v>2460000</v>
      </c>
      <c r="M26" s="92"/>
      <c r="N26" s="93"/>
      <c r="O26" s="104">
        <f>SUM(O25:Q25)</f>
        <v>136000</v>
      </c>
      <c r="P26" s="92"/>
      <c r="Q26" s="93"/>
      <c r="R26" s="104">
        <f>SUM(R25:T25)</f>
        <v>0</v>
      </c>
      <c r="S26" s="92"/>
      <c r="T26" s="93"/>
    </row>
    <row r="27" ht="28" customHeight="1" spans="1:20">
      <c r="A27" s="106" t="s">
        <v>52</v>
      </c>
      <c r="B27" s="92"/>
      <c r="C27" s="92"/>
      <c r="D27" s="92"/>
      <c r="E27" s="92"/>
      <c r="F27" s="92"/>
      <c r="G27" s="92"/>
      <c r="H27" s="93"/>
      <c r="I27" s="104">
        <f>SUM(I25:T25)</f>
        <v>4196000</v>
      </c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3"/>
    </row>
  </sheetData>
  <autoFilter xmlns:etc="http://www.wps.cn/officeDocument/2017/etCustomData" ref="A3:T13" etc:filterBottomFollowUsedRange="0">
    <extLst/>
  </autoFilter>
  <mergeCells count="53">
    <mergeCell ref="A1:H1"/>
    <mergeCell ref="I1:T1"/>
    <mergeCell ref="I2:T2"/>
    <mergeCell ref="B8:H8"/>
    <mergeCell ref="B9:H9"/>
    <mergeCell ref="I9:K9"/>
    <mergeCell ref="L9:N9"/>
    <mergeCell ref="O9:Q9"/>
    <mergeCell ref="R9:T9"/>
    <mergeCell ref="B10:H10"/>
    <mergeCell ref="I10:T10"/>
    <mergeCell ref="B11:H11"/>
    <mergeCell ref="B12:H12"/>
    <mergeCell ref="I12:K12"/>
    <mergeCell ref="L12:N12"/>
    <mergeCell ref="O12:Q12"/>
    <mergeCell ref="R12:T12"/>
    <mergeCell ref="B13:H13"/>
    <mergeCell ref="I13:T13"/>
    <mergeCell ref="B19:H19"/>
    <mergeCell ref="B20:H20"/>
    <mergeCell ref="I20:K20"/>
    <mergeCell ref="L20:N20"/>
    <mergeCell ref="O20:Q20"/>
    <mergeCell ref="R20:T20"/>
    <mergeCell ref="B21:H21"/>
    <mergeCell ref="I21:T21"/>
    <mergeCell ref="B22:H22"/>
    <mergeCell ref="B23:H23"/>
    <mergeCell ref="I23:K23"/>
    <mergeCell ref="L23:N23"/>
    <mergeCell ref="O23:Q23"/>
    <mergeCell ref="R23:T23"/>
    <mergeCell ref="B24:H24"/>
    <mergeCell ref="I24:T24"/>
    <mergeCell ref="A25:H25"/>
    <mergeCell ref="A26:H26"/>
    <mergeCell ref="I26:K26"/>
    <mergeCell ref="L26:N26"/>
    <mergeCell ref="O26:Q26"/>
    <mergeCell ref="R26:T26"/>
    <mergeCell ref="A27:H27"/>
    <mergeCell ref="I27:T27"/>
    <mergeCell ref="A2:A3"/>
    <mergeCell ref="A4:A13"/>
    <mergeCell ref="A15:A24"/>
    <mergeCell ref="B2:B3"/>
    <mergeCell ref="C2:C3"/>
    <mergeCell ref="D2:D3"/>
    <mergeCell ref="E2:E3"/>
    <mergeCell ref="F2:F3"/>
    <mergeCell ref="G2:G3"/>
    <mergeCell ref="H2:H3"/>
  </mergeCells>
  <dataValidations count="1">
    <dataValidation type="list" allowBlank="1" showInputMessage="1" showErrorMessage="1" sqref="A1:H1">
      <formula1>"初步接洽,需求沟通,方案报价,商务谈判,待签约,已签约未回款,已签约并回款,已丢单"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2"/>
  <sheetViews>
    <sheetView showGridLines="0" zoomScale="85" zoomScaleNormal="85" workbookViewId="0">
      <selection activeCell="I26" sqref="I26"/>
    </sheetView>
  </sheetViews>
  <sheetFormatPr defaultColWidth="9" defaultRowHeight="14.4"/>
  <cols>
    <col min="1" max="1" width="2.33333333333333" style="61" customWidth="1"/>
    <col min="2" max="2" width="9" customWidth="1"/>
    <col min="3" max="3" width="13" customWidth="1"/>
    <col min="4" max="4" width="17.3148148148148" customWidth="1"/>
    <col min="5" max="6" width="15.3796296296296" customWidth="1"/>
    <col min="7" max="7" width="16.4444444444444" customWidth="1"/>
    <col min="8" max="8" width="14.287037037037" customWidth="1"/>
    <col min="9" max="11" width="15.2222222222222" customWidth="1"/>
    <col min="12" max="12" width="14.1018518518519" customWidth="1"/>
    <col min="13" max="13" width="14.8240740740741" customWidth="1"/>
    <col min="14" max="15" width="16.7685185185185" customWidth="1"/>
    <col min="16" max="16" width="16.4444444444444" customWidth="1"/>
    <col min="17" max="17" width="2.33333333333333" style="61" customWidth="1"/>
    <col min="18" max="16384" width="9" customWidth="1"/>
  </cols>
  <sheetData>
    <row r="1" s="61" customFormat="1" ht="13" customHeight="1" spans="1:19">
      <c r="A1" s="64"/>
      <c r="B1" s="64"/>
      <c r="C1" s="65"/>
      <c r="D1" s="65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ht="29" customHeight="1" spans="1:19">
      <c r="A2" s="64"/>
      <c r="B2" s="66"/>
      <c r="C2" s="67" t="s">
        <v>53</v>
      </c>
      <c r="Q2" s="64"/>
    </row>
    <row r="3" s="62" customFormat="1" ht="22" customHeight="1" spans="1:19">
      <c r="A3" s="64"/>
      <c r="B3" s="68" t="s">
        <v>8</v>
      </c>
      <c r="P3" s="69"/>
      <c r="Q3" s="64"/>
      <c r="S3"/>
    </row>
    <row r="4" s="62" customFormat="1" ht="22" customHeight="1" spans="1:19">
      <c r="A4" s="64"/>
      <c r="B4" s="70" t="s">
        <v>0</v>
      </c>
      <c r="C4" s="70" t="s">
        <v>2</v>
      </c>
      <c r="D4" s="71" t="s">
        <v>9</v>
      </c>
      <c r="E4" s="71" t="s">
        <v>10</v>
      </c>
      <c r="F4" s="71" t="s">
        <v>11</v>
      </c>
      <c r="G4" s="71" t="s">
        <v>12</v>
      </c>
      <c r="H4" s="71" t="s">
        <v>13</v>
      </c>
      <c r="I4" s="71" t="s">
        <v>14</v>
      </c>
      <c r="J4" s="71" t="s">
        <v>15</v>
      </c>
      <c r="K4" s="71" t="s">
        <v>16</v>
      </c>
      <c r="L4" s="71" t="s">
        <v>17</v>
      </c>
      <c r="M4" s="71" t="s">
        <v>18</v>
      </c>
      <c r="N4" s="71" t="s">
        <v>19</v>
      </c>
      <c r="O4" s="71" t="s">
        <v>20</v>
      </c>
      <c r="P4" s="68" t="s">
        <v>54</v>
      </c>
      <c r="Q4" s="64"/>
      <c r="S4"/>
    </row>
    <row r="5" s="62" customFormat="1" ht="22" customHeight="1" spans="1:19">
      <c r="A5" s="64"/>
      <c r="B5" s="62" t="s">
        <v>55</v>
      </c>
      <c r="C5" s="28" t="s">
        <v>56</v>
      </c>
      <c r="D5" s="72">
        <f>SUMIF('展示用-2026年签约数据汇总（0702统计）'!C:C,C5,'展示用-2026年签约数据汇总（0702统计）'!I:I)</f>
        <v>0</v>
      </c>
      <c r="E5" s="72">
        <f>SUMIF('展示用-2026年签约数据汇总（0702统计）'!C:C,C5,'展示用-2026年签约数据汇总（0702统计）'!J:J)</f>
        <v>0</v>
      </c>
      <c r="F5" s="72">
        <f>SUMIF('展示用-2026年签约数据汇总（0702统计）'!C:C,C5,'展示用-2026年签约数据汇总（0702统计）'!K:K)</f>
        <v>0</v>
      </c>
      <c r="G5" s="72">
        <f>SUMIF('展示用-2026年签约数据汇总（0702统计）'!C:C,C5,'展示用-2026年签约数据汇总（0702统计）'!L:L)</f>
        <v>0</v>
      </c>
      <c r="H5" s="72">
        <f>SUMIF('展示用-2026年签约数据汇总（0702统计）'!C:C,C5,'展示用-2026年签约数据汇总（0702统计）'!M:M)</f>
        <v>0</v>
      </c>
      <c r="I5" s="72">
        <f>SUMIF('展示用-2026年签约数据汇总（0702统计）'!C:C,C5,'展示用-2026年签约数据汇总（0702统计）'!N:N)</f>
        <v>0</v>
      </c>
      <c r="J5" s="72"/>
      <c r="K5" s="72"/>
      <c r="L5" s="72"/>
      <c r="M5" s="72"/>
      <c r="N5" s="72"/>
      <c r="O5" s="72"/>
      <c r="P5" s="73">
        <f t="shared" ref="P5:P12" si="0">SUM(D5:O5)</f>
        <v>0</v>
      </c>
      <c r="Q5" s="64"/>
      <c r="S5"/>
    </row>
    <row r="6" s="62" customFormat="1" ht="22" customHeight="1" spans="1:19">
      <c r="A6" s="64"/>
      <c r="C6" s="28" t="s">
        <v>57</v>
      </c>
      <c r="D6" s="72" t="s">
        <v>58</v>
      </c>
      <c r="E6" s="72" t="s">
        <v>58</v>
      </c>
      <c r="F6" s="72" t="s">
        <v>58</v>
      </c>
      <c r="G6" s="72" t="s">
        <v>58</v>
      </c>
      <c r="H6" s="72" t="s">
        <v>58</v>
      </c>
      <c r="I6" s="72">
        <f>SUMIF('展示用-2026年签约数据汇总（0702统计）'!C:C,C6,'展示用-2026年签约数据汇总（0702统计）'!N:N)</f>
        <v>0</v>
      </c>
      <c r="J6" s="72"/>
      <c r="K6" s="72"/>
      <c r="L6" s="72"/>
      <c r="M6" s="72"/>
      <c r="N6" s="72"/>
      <c r="O6" s="72"/>
      <c r="P6" s="73">
        <f t="shared" si="0"/>
        <v>0</v>
      </c>
      <c r="Q6" s="64"/>
      <c r="S6"/>
    </row>
    <row r="7" s="62" customFormat="1" ht="22" customHeight="1" spans="1:19">
      <c r="A7" s="64"/>
      <c r="C7" s="28" t="s">
        <v>59</v>
      </c>
      <c r="D7" s="72" t="s">
        <v>58</v>
      </c>
      <c r="E7" s="72" t="s">
        <v>58</v>
      </c>
      <c r="F7" s="72" t="s">
        <v>58</v>
      </c>
      <c r="G7" s="72" t="s">
        <v>58</v>
      </c>
      <c r="H7" s="72" t="s">
        <v>58</v>
      </c>
      <c r="I7" s="72">
        <f>SUMIF('展示用-2026年签约数据汇总（0702统计）'!C:C,C7,'展示用-2026年签约数据汇总（0702统计）'!N:N)</f>
        <v>0</v>
      </c>
      <c r="J7" s="72"/>
      <c r="K7" s="72"/>
      <c r="L7" s="72"/>
      <c r="M7" s="72"/>
      <c r="N7" s="72"/>
      <c r="O7" s="72"/>
      <c r="P7" s="73">
        <f t="shared" si="0"/>
        <v>0</v>
      </c>
      <c r="Q7" s="64"/>
      <c r="S7"/>
    </row>
    <row r="8" s="62" customFormat="1" ht="23" hidden="1" customHeight="1" spans="1:19">
      <c r="A8" s="64"/>
      <c r="C8" s="28" t="s">
        <v>60</v>
      </c>
      <c r="D8" s="72">
        <f>SUMIF('展示用-2026年签约数据汇总（0702统计）'!C:C,C8,'展示用-2026年签约数据汇总（0702统计）'!I:I)</f>
        <v>0</v>
      </c>
      <c r="E8" s="72">
        <f>SUMIF('展示用-2026年签约数据汇总（0702统计）'!C:C,C8,'展示用-2026年签约数据汇总（0702统计）'!J:J)</f>
        <v>0</v>
      </c>
      <c r="F8" s="72">
        <f>SUMIF('展示用-2026年签约数据汇总（0702统计）'!C:C,C8,'展示用-2026年签约数据汇总（0702统计）'!K:K)</f>
        <v>0</v>
      </c>
      <c r="G8" s="72">
        <f>SUMIF('展示用-2026年签约数据汇总（0702统计）'!C:C,C8,'展示用-2026年签约数据汇总（0702统计）'!L:L)</f>
        <v>0</v>
      </c>
      <c r="H8" s="72">
        <f>SUMIF('展示用-2026年签约数据汇总（0702统计）'!C:C,C8,'展示用-2026年签约数据汇总（0702统计）'!M:M)</f>
        <v>0</v>
      </c>
      <c r="I8" s="72">
        <f>SUMIF('展示用-2026年签约数据汇总（0702统计）'!C:C,C8,'展示用-2026年签约数据汇总（0702统计）'!N:N)</f>
        <v>0</v>
      </c>
      <c r="J8" s="74"/>
      <c r="K8" s="74"/>
      <c r="L8" s="74"/>
      <c r="M8" s="74"/>
      <c r="N8" s="74"/>
      <c r="O8" s="74"/>
      <c r="P8" s="73">
        <f t="shared" si="0"/>
        <v>0</v>
      </c>
      <c r="Q8" s="64"/>
      <c r="S8"/>
    </row>
    <row r="9" s="62" customFormat="1" ht="23" hidden="1" customHeight="1" spans="1:19">
      <c r="A9" s="64"/>
      <c r="C9" s="28" t="s">
        <v>61</v>
      </c>
      <c r="D9" s="72">
        <f>SUMIF('展示用-2026年签约数据汇总（0702统计）'!C:C,C9,'展示用-2026年签约数据汇总（0702统计）'!I:I)</f>
        <v>0</v>
      </c>
      <c r="E9" s="72">
        <f>SUMIF('展示用-2026年签约数据汇总（0702统计）'!C:C,C9,'展示用-2026年签约数据汇总（0702统计）'!J:J)</f>
        <v>0</v>
      </c>
      <c r="F9" s="72">
        <f>SUMIF('展示用-2026年签约数据汇总（0702统计）'!C:C,C9,'展示用-2026年签约数据汇总（0702统计）'!K:K)</f>
        <v>0</v>
      </c>
      <c r="G9" s="72">
        <f>SUMIF('展示用-2026年签约数据汇总（0702统计）'!C:C,C9,'展示用-2026年签约数据汇总（0702统计）'!L:L)</f>
        <v>0</v>
      </c>
      <c r="H9" s="72">
        <f>SUMIF('展示用-2026年签约数据汇总（0702统计）'!C:C,C9,'展示用-2026年签约数据汇总（0702统计）'!M:M)</f>
        <v>0</v>
      </c>
      <c r="I9" s="72">
        <f>SUMIF('展示用-2026年签约数据汇总（0702统计）'!C:C,C9,'展示用-2026年签约数据汇总（0702统计）'!N:N)</f>
        <v>0</v>
      </c>
      <c r="J9" s="74"/>
      <c r="K9" s="74"/>
      <c r="L9" s="74"/>
      <c r="M9" s="74"/>
      <c r="N9" s="74"/>
      <c r="O9" s="74"/>
      <c r="P9" s="73">
        <f t="shared" si="0"/>
        <v>0</v>
      </c>
      <c r="Q9" s="64"/>
      <c r="S9"/>
    </row>
    <row r="10" s="62" customFormat="1" ht="23" hidden="1" customHeight="1" spans="1:19">
      <c r="A10" s="64"/>
      <c r="C10" s="28" t="s">
        <v>62</v>
      </c>
      <c r="D10" s="72" t="s">
        <v>58</v>
      </c>
      <c r="E10" s="72" t="s">
        <v>58</v>
      </c>
      <c r="F10" s="72" t="s">
        <v>58</v>
      </c>
      <c r="G10" s="72">
        <f>SUMIF('展示用-2026年签约数据汇总（0702统计）'!C:C,C10,'展示用-2026年签约数据汇总（0702统计）'!L:L)</f>
        <v>0</v>
      </c>
      <c r="H10" s="72">
        <f>SUMIF('展示用-2026年签约数据汇总（0702统计）'!C:C,C10,'展示用-2026年签约数据汇总（0702统计）'!M:M)</f>
        <v>0</v>
      </c>
      <c r="I10" s="72">
        <f>SUMIF('展示用-2026年签约数据汇总（0702统计）'!C:C,C10,'展示用-2026年签约数据汇总（0702统计）'!N:N)</f>
        <v>0</v>
      </c>
      <c r="J10" s="74"/>
      <c r="K10" s="74"/>
      <c r="L10" s="74"/>
      <c r="M10" s="74"/>
      <c r="N10" s="74"/>
      <c r="O10" s="74"/>
      <c r="P10" s="73">
        <f t="shared" si="0"/>
        <v>0</v>
      </c>
      <c r="Q10" s="64"/>
      <c r="S10"/>
    </row>
    <row r="11" s="62" customFormat="1" ht="23" hidden="1" customHeight="1" spans="1:19">
      <c r="A11" s="64"/>
      <c r="C11" s="28" t="s">
        <v>63</v>
      </c>
      <c r="D11" s="72" t="s">
        <v>58</v>
      </c>
      <c r="E11" s="72" t="s">
        <v>58</v>
      </c>
      <c r="F11" s="72" t="s">
        <v>58</v>
      </c>
      <c r="G11" s="72">
        <f>SUMIF('展示用-2026年签约数据汇总（0702统计）'!C:C,C11,'展示用-2026年签约数据汇总（0702统计）'!L:L)</f>
        <v>0</v>
      </c>
      <c r="H11" s="72">
        <f>SUMIF('展示用-2026年签约数据汇总（0702统计）'!C:C,C11,'展示用-2026年签约数据汇总（0702统计）'!M:M)</f>
        <v>0</v>
      </c>
      <c r="I11" s="72">
        <f>SUMIF('展示用-2026年签约数据汇总（0702统计）'!C:C,C11,'展示用-2026年签约数据汇总（0702统计）'!N:N)</f>
        <v>0</v>
      </c>
      <c r="J11" s="74"/>
      <c r="K11" s="74"/>
      <c r="L11" s="74"/>
      <c r="M11" s="74"/>
      <c r="N11" s="74"/>
      <c r="O11" s="74"/>
      <c r="P11" s="73">
        <f t="shared" si="0"/>
        <v>0</v>
      </c>
      <c r="Q11" s="64"/>
      <c r="S11"/>
    </row>
    <row r="12" s="62" customFormat="1" ht="23" hidden="1" customHeight="1" spans="1:19">
      <c r="A12" s="64"/>
      <c r="C12" s="28" t="s">
        <v>64</v>
      </c>
      <c r="D12" s="72" t="s">
        <v>58</v>
      </c>
      <c r="E12" s="72" t="s">
        <v>58</v>
      </c>
      <c r="F12" s="72" t="s">
        <v>58</v>
      </c>
      <c r="G12" s="72">
        <f>SUMIF('展示用-2026年签约数据汇总（0702统计）'!C:C,C12,'展示用-2026年签约数据汇总（0702统计）'!L:L)</f>
        <v>0</v>
      </c>
      <c r="H12" s="72">
        <f>SUMIF('展示用-2026年签约数据汇总（0702统计）'!C:C,C12,'展示用-2026年签约数据汇总（0702统计）'!M:M)</f>
        <v>0</v>
      </c>
      <c r="I12" s="72">
        <f>SUMIF('展示用-2026年签约数据汇总（0702统计）'!C:C,C12,'展示用-2026年签约数据汇总（0702统计）'!N:N)</f>
        <v>0</v>
      </c>
      <c r="J12" s="74"/>
      <c r="K12" s="74"/>
      <c r="L12" s="74"/>
      <c r="M12" s="74"/>
      <c r="N12" s="74"/>
      <c r="O12" s="74"/>
      <c r="P12" s="73">
        <f t="shared" si="0"/>
        <v>0</v>
      </c>
      <c r="Q12" s="64"/>
      <c r="S12"/>
    </row>
    <row r="13" s="62" customFormat="1" ht="23" customHeight="1" spans="1:19">
      <c r="A13" s="64"/>
      <c r="C13" s="28" t="s">
        <v>65</v>
      </c>
      <c r="D13" s="72"/>
      <c r="E13" s="72"/>
      <c r="F13" s="72"/>
      <c r="G13" s="72"/>
      <c r="H13" s="72"/>
      <c r="I13" s="72"/>
      <c r="J13" s="74"/>
      <c r="K13" s="74"/>
      <c r="L13" s="74"/>
      <c r="M13" s="74"/>
      <c r="N13" s="74"/>
      <c r="O13" s="74"/>
      <c r="P13" s="73"/>
      <c r="Q13" s="64"/>
      <c r="S13"/>
    </row>
    <row r="14" s="62" customFormat="1" ht="23" customHeight="1" spans="1:19">
      <c r="A14" s="64"/>
      <c r="C14" s="28" t="s">
        <v>66</v>
      </c>
      <c r="D14" s="72"/>
      <c r="E14" s="72"/>
      <c r="F14" s="72"/>
      <c r="G14" s="72"/>
      <c r="H14" s="72"/>
      <c r="I14" s="72"/>
      <c r="J14" s="74"/>
      <c r="K14" s="74"/>
      <c r="L14" s="74"/>
      <c r="M14" s="74"/>
      <c r="N14" s="74"/>
      <c r="O14" s="74"/>
      <c r="P14" s="73"/>
      <c r="Q14" s="64"/>
      <c r="S14"/>
    </row>
    <row r="15" s="62" customFormat="1" ht="23" customHeight="1" spans="1:19">
      <c r="A15" s="64"/>
      <c r="B15" s="62" t="s">
        <v>21</v>
      </c>
      <c r="C15" s="28" t="s">
        <v>67</v>
      </c>
      <c r="D15" s="72">
        <f>SUMIF('展示用-2026年签约数据汇总（0702统计）'!C:C,C15,'展示用-2026年签约数据汇总（0702统计）'!I:I)</f>
        <v>0</v>
      </c>
      <c r="E15" s="72">
        <f>SUMIF('展示用-2026年签约数据汇总（0702统计）'!C:C,C15,'展示用-2026年签约数据汇总（0702统计）'!J:J)</f>
        <v>0</v>
      </c>
      <c r="F15" s="72">
        <f>SUMIF('展示用-2026年签约数据汇总（0702统计）'!C:C,C15,'展示用-2026年签约数据汇总（0702统计）'!K:K)</f>
        <v>0</v>
      </c>
      <c r="G15" s="72">
        <f>SUMIF('展示用-2026年签约数据汇总（0702统计）'!C:C,C15,'展示用-2026年签约数据汇总（0702统计）'!L:L)</f>
        <v>0</v>
      </c>
      <c r="H15" s="72">
        <f>SUMIF('展示用-2026年签约数据汇总（0702统计）'!C:C,C15,'展示用-2026年签约数据汇总（0702统计）'!M:M)</f>
        <v>0</v>
      </c>
      <c r="I15" s="72">
        <f>SUMIF('展示用-2026年签约数据汇总（0702统计）'!C:C,C15,'展示用-2026年签约数据汇总（0702统计）'!N:N)</f>
        <v>0</v>
      </c>
      <c r="J15" s="74"/>
      <c r="K15" s="74"/>
      <c r="L15" s="74"/>
      <c r="M15" s="74"/>
      <c r="N15" s="74"/>
      <c r="O15" s="74"/>
      <c r="P15" s="73">
        <f t="shared" ref="P15:P25" si="1">SUM(D15:O15)</f>
        <v>0</v>
      </c>
      <c r="Q15" s="64"/>
      <c r="S15"/>
    </row>
    <row r="16" s="62" customFormat="1" ht="23" customHeight="1" spans="1:19">
      <c r="A16" s="64"/>
      <c r="C16" s="28" t="s">
        <v>68</v>
      </c>
      <c r="D16" s="72">
        <f>SUMIF('展示用-2026年签约数据汇总（0702统计）'!C:C,C16,'展示用-2026年签约数据汇总（0702统计）'!I:I)</f>
        <v>0</v>
      </c>
      <c r="E16" s="72">
        <f>SUMIF('展示用-2026年签约数据汇总（0702统计）'!C:C,C16,'展示用-2026年签约数据汇总（0702统计）'!J:J)</f>
        <v>0</v>
      </c>
      <c r="F16" s="72">
        <f>SUMIF('展示用-2026年签约数据汇总（0702统计）'!C:C,C16,'展示用-2026年签约数据汇总（0702统计）'!K:K)</f>
        <v>0</v>
      </c>
      <c r="G16" s="72">
        <f>SUMIF('展示用-2026年签约数据汇总（0702统计）'!C:C,C16,'展示用-2026年签约数据汇总（0702统计）'!L:L)</f>
        <v>0</v>
      </c>
      <c r="H16" s="72">
        <f>SUMIF('展示用-2026年签约数据汇总（0702统计）'!C:C,C16,'展示用-2026年签约数据汇总（0702统计）'!M:M)</f>
        <v>0</v>
      </c>
      <c r="I16" s="72">
        <f>SUMIF('展示用-2026年签约数据汇总（0702统计）'!C:C,C16,'展示用-2026年签约数据汇总（0702统计）'!N:N)</f>
        <v>0</v>
      </c>
      <c r="J16" s="74"/>
      <c r="K16" s="74"/>
      <c r="L16" s="74"/>
      <c r="M16" s="74"/>
      <c r="N16" s="74"/>
      <c r="O16" s="74"/>
      <c r="P16" s="73">
        <f t="shared" si="1"/>
        <v>0</v>
      </c>
      <c r="Q16" s="64"/>
      <c r="S16"/>
    </row>
    <row r="17" s="62" customFormat="1" ht="23" customHeight="1" spans="1:19">
      <c r="A17" s="64"/>
      <c r="C17" s="28" t="s">
        <v>69</v>
      </c>
      <c r="D17" s="72">
        <f>SUMIF('展示用-2026年签约数据汇总（0702统计）'!C:C,C17,'展示用-2026年签约数据汇总（0702统计）'!I:I)</f>
        <v>0</v>
      </c>
      <c r="E17" s="72">
        <f>SUMIF('展示用-2026年签约数据汇总（0702统计）'!C:C,C17,'展示用-2026年签约数据汇总（0702统计）'!J:J)</f>
        <v>0</v>
      </c>
      <c r="F17" s="72">
        <f>SUMIF('展示用-2026年签约数据汇总（0702统计）'!C:C,C17,'展示用-2026年签约数据汇总（0702统计）'!K:K)</f>
        <v>0</v>
      </c>
      <c r="G17" s="72">
        <f>SUMIF('展示用-2026年签约数据汇总（0702统计）'!C:C,C17,'展示用-2026年签约数据汇总（0702统计）'!L:L)</f>
        <v>0</v>
      </c>
      <c r="H17" s="72">
        <f>SUMIF('展示用-2026年签约数据汇总（0702统计）'!C:C,C17,'展示用-2026年签约数据汇总（0702统计）'!M:M)</f>
        <v>0</v>
      </c>
      <c r="I17" s="72">
        <f>SUMIF('展示用-2026年签约数据汇总（0702统计）'!C:C,C17,'展示用-2026年签约数据汇总（0702统计）'!N:N)</f>
        <v>0</v>
      </c>
      <c r="J17" s="74"/>
      <c r="K17" s="74"/>
      <c r="L17" s="74"/>
      <c r="M17" s="74"/>
      <c r="N17" s="74"/>
      <c r="O17" s="74"/>
      <c r="P17" s="73">
        <f t="shared" si="1"/>
        <v>0</v>
      </c>
      <c r="Q17" s="64"/>
      <c r="S17"/>
    </row>
    <row r="18" s="62" customFormat="1" ht="23" customHeight="1" spans="1:19">
      <c r="A18" s="64"/>
      <c r="C18" s="28" t="s">
        <v>70</v>
      </c>
      <c r="D18" s="72">
        <f>SUMIF('展示用-2026年签约数据汇总（0702统计）'!C:C,C18,'展示用-2026年签约数据汇总（0702统计）'!I:I)</f>
        <v>0</v>
      </c>
      <c r="E18" s="72">
        <f>SUMIF('展示用-2026年签约数据汇总（0702统计）'!C:C,C18,'展示用-2026年签约数据汇总（0702统计）'!J:J)</f>
        <v>0</v>
      </c>
      <c r="F18" s="72">
        <f>SUMIF('展示用-2026年签约数据汇总（0702统计）'!C:C,C18,'展示用-2026年签约数据汇总（0702统计）'!K:K)</f>
        <v>0</v>
      </c>
      <c r="G18" s="72">
        <f>SUMIF('展示用-2026年签约数据汇总（0702统计）'!C:C,C18,'展示用-2026年签约数据汇总（0702统计）'!L:L)</f>
        <v>0</v>
      </c>
      <c r="H18" s="72">
        <f>SUMIF('展示用-2026年签约数据汇总（0702统计）'!C:C,C18,'展示用-2026年签约数据汇总（0702统计）'!M:M)</f>
        <v>0</v>
      </c>
      <c r="I18" s="72">
        <f>SUMIF('展示用-2026年签约数据汇总（0702统计）'!C:C,C18,'展示用-2026年签约数据汇总（0702统计）'!N:N)</f>
        <v>0</v>
      </c>
      <c r="J18" s="74"/>
      <c r="K18" s="74"/>
      <c r="L18" s="74"/>
      <c r="M18" s="74"/>
      <c r="N18" s="74"/>
      <c r="O18" s="74"/>
      <c r="P18" s="73">
        <f t="shared" si="1"/>
        <v>0</v>
      </c>
      <c r="Q18" s="64"/>
    </row>
    <row r="19" s="62" customFormat="1" ht="23" customHeight="1" spans="1:19">
      <c r="A19" s="64"/>
      <c r="B19" s="62" t="s">
        <v>71</v>
      </c>
      <c r="C19" s="28" t="s">
        <v>72</v>
      </c>
      <c r="D19" s="72">
        <f>SUMIF('展示用-2026年签约数据汇总（0702统计）'!C:C,C19,'展示用-2026年签约数据汇总（0702统计）'!I:I)</f>
        <v>0</v>
      </c>
      <c r="E19" s="72">
        <f>SUMIF('展示用-2026年签约数据汇总（0702统计）'!C:C,C19,'展示用-2026年签约数据汇总（0702统计）'!J:J)</f>
        <v>0</v>
      </c>
      <c r="F19" s="72">
        <f>SUMIF('展示用-2026年签约数据汇总（0702统计）'!C:C,C19,'展示用-2026年签约数据汇总（0702统计）'!K:K)</f>
        <v>0</v>
      </c>
      <c r="G19" s="72">
        <f>SUMIF('展示用-2026年签约数据汇总（0702统计）'!C:C,C19,'展示用-2026年签约数据汇总（0702统计）'!L:L)</f>
        <v>0</v>
      </c>
      <c r="H19" s="72">
        <f>SUMIF('展示用-2026年签约数据汇总（0702统计）'!C:C,C19,'展示用-2026年签约数据汇总（0702统计）'!M:M)</f>
        <v>0</v>
      </c>
      <c r="I19" s="72">
        <f>SUMIF('展示用-2026年签约数据汇总（0702统计）'!C:C,C19,'展示用-2026年签约数据汇总（0702统计）'!N:N)</f>
        <v>0</v>
      </c>
      <c r="J19" s="74"/>
      <c r="K19" s="74"/>
      <c r="L19" s="74"/>
      <c r="M19" s="74"/>
      <c r="N19" s="74"/>
      <c r="O19" s="74"/>
      <c r="P19" s="73">
        <f t="shared" si="1"/>
        <v>0</v>
      </c>
      <c r="Q19" s="64"/>
    </row>
    <row r="20" ht="23" hidden="1" customHeight="1" spans="1:19">
      <c r="A20" s="64"/>
      <c r="C20" s="28" t="s">
        <v>73</v>
      </c>
      <c r="D20" s="72">
        <f>SUMIF('展示用-2026年签约数据汇总（0702统计）'!C:C,C20,'展示用-2026年签约数据汇总（0702统计）'!I:I)</f>
        <v>0</v>
      </c>
      <c r="E20" s="72">
        <f>SUMIF('展示用-2026年签约数据汇总（0702统计）'!C:C,C20,'展示用-2026年签约数据汇总（0702统计）'!J:J)</f>
        <v>0</v>
      </c>
      <c r="F20" s="72">
        <f>SUMIF('展示用-2026年签约数据汇总（0702统计）'!C:C,C20,'展示用-2026年签约数据汇总（0702统计）'!K:K)</f>
        <v>0</v>
      </c>
      <c r="G20" s="72">
        <f>SUMIF('展示用-2026年签约数据汇总（0702统计）'!C:C,C20,'展示用-2026年签约数据汇总（0702统计）'!L:L)</f>
        <v>0</v>
      </c>
      <c r="H20" s="72">
        <f>SUMIF('展示用-2026年签约数据汇总（0702统计）'!C:C,C20,'展示用-2026年签约数据汇总（0702统计）'!M:M)</f>
        <v>0</v>
      </c>
      <c r="I20" s="72">
        <f>SUMIF('展示用-2026年签约数据汇总（0702统计）'!C:C,C20,'展示用-2026年签约数据汇总（0702统计）'!N:N)</f>
        <v>0</v>
      </c>
      <c r="J20" s="75"/>
      <c r="K20" s="75"/>
      <c r="L20" s="74"/>
      <c r="M20" s="74"/>
      <c r="N20" s="74"/>
      <c r="O20" s="74"/>
      <c r="P20" s="73">
        <f t="shared" si="1"/>
        <v>0</v>
      </c>
      <c r="Q20" s="64"/>
    </row>
    <row r="21" customFormat="1" ht="23" hidden="1" customHeight="1" spans="1:19">
      <c r="A21" s="64"/>
      <c r="C21" s="28" t="s">
        <v>74</v>
      </c>
      <c r="D21" s="72">
        <f>SUMIF('展示用-2026年签约数据汇总（0702统计）'!C:C,C21,'展示用-2026年签约数据汇总（0702统计）'!I:I)</f>
        <v>0</v>
      </c>
      <c r="E21" s="72">
        <f>SUMIF('展示用-2026年签约数据汇总（0702统计）'!C:C,C21,'展示用-2026年签约数据汇总（0702统计）'!J:J)</f>
        <v>0</v>
      </c>
      <c r="F21" s="72">
        <f>SUMIF('展示用-2026年签约数据汇总（0702统计）'!C:C,C21,'展示用-2026年签约数据汇总（0702统计）'!K:K)</f>
        <v>0</v>
      </c>
      <c r="G21" s="72">
        <f>SUMIF('展示用-2026年签约数据汇总（0702统计）'!C:C,C21,'展示用-2026年签约数据汇总（0702统计）'!L:L)</f>
        <v>0</v>
      </c>
      <c r="H21" s="72">
        <f>SUMIF('展示用-2026年签约数据汇总（0702统计）'!C:C,C21,'展示用-2026年签约数据汇总（0702统计）'!M:M)</f>
        <v>0</v>
      </c>
      <c r="I21" s="72">
        <f>SUMIF('展示用-2026年签约数据汇总（0702统计）'!C:C,C21,'展示用-2026年签约数据汇总（0702统计）'!N:N)</f>
        <v>0</v>
      </c>
      <c r="J21" s="74"/>
      <c r="K21" s="74"/>
      <c r="L21" s="74"/>
      <c r="M21" s="74"/>
      <c r="N21" s="74"/>
      <c r="O21" s="74"/>
      <c r="P21" s="73">
        <f t="shared" si="1"/>
        <v>0</v>
      </c>
      <c r="Q21" s="64"/>
    </row>
    <row r="22" customFormat="1" ht="23" hidden="1" customHeight="1" spans="1:19">
      <c r="A22" s="64"/>
      <c r="C22" s="28" t="s">
        <v>75</v>
      </c>
      <c r="D22" s="72">
        <f>SUMIF('展示用-2026年签约数据汇总（0702统计）'!C:C,C22,'展示用-2026年签约数据汇总（0702统计）'!I:I)</f>
        <v>0</v>
      </c>
      <c r="E22" s="72">
        <f>SUMIF('展示用-2026年签约数据汇总（0702统计）'!C:C,C22,'展示用-2026年签约数据汇总（0702统计）'!J:J)</f>
        <v>0</v>
      </c>
      <c r="F22" s="72">
        <f>SUMIF('展示用-2026年签约数据汇总（0702统计）'!C:C,C22,'展示用-2026年签约数据汇总（0702统计）'!K:K)</f>
        <v>0</v>
      </c>
      <c r="G22" s="72">
        <f>SUMIF('展示用-2026年签约数据汇总（0702统计）'!C:C,C22,'展示用-2026年签约数据汇总（0702统计）'!L:L)</f>
        <v>0</v>
      </c>
      <c r="H22" s="72">
        <f>SUMIF('展示用-2026年签约数据汇总（0702统计）'!C:C,C22,'展示用-2026年签约数据汇总（0702统计）'!M:M)</f>
        <v>0</v>
      </c>
      <c r="I22" s="72">
        <f>SUMIF('展示用-2026年签约数据汇总（0702统计）'!C:C,C22,'展示用-2026年签约数据汇总（0702统计）'!N:N)</f>
        <v>0</v>
      </c>
      <c r="J22" s="74"/>
      <c r="K22" s="74"/>
      <c r="L22" s="74"/>
      <c r="M22" s="74"/>
      <c r="N22" s="74"/>
      <c r="O22" s="74"/>
      <c r="P22" s="73">
        <f t="shared" si="1"/>
        <v>0</v>
      </c>
      <c r="Q22" s="64"/>
    </row>
    <row r="23" customFormat="1" ht="23" customHeight="1" spans="1:19">
      <c r="A23" s="64"/>
      <c r="B23" s="62" t="s">
        <v>49</v>
      </c>
      <c r="C23" s="28" t="s">
        <v>76</v>
      </c>
      <c r="D23" s="72">
        <f>SUMIF('展示用-2026年签约数据汇总（0702统计）'!C:C,C23,'展示用-2026年签约数据汇总（0702统计）'!I:I)</f>
        <v>0</v>
      </c>
      <c r="E23" s="72">
        <f>SUMIF('展示用-2026年签约数据汇总（0702统计）'!C:C,C23,'展示用-2026年签约数据汇总（0702统计）'!J:J)</f>
        <v>0</v>
      </c>
      <c r="F23" s="72">
        <f>SUMIF('展示用-2026年签约数据汇总（0702统计）'!C:C,C23,'展示用-2026年签约数据汇总（0702统计）'!K:K)</f>
        <v>0</v>
      </c>
      <c r="G23" s="72">
        <f>SUMIF('展示用-2026年签约数据汇总（0702统计）'!C:C,C23,'展示用-2026年签约数据汇总（0702统计）'!L:L)</f>
        <v>0</v>
      </c>
      <c r="H23" s="72">
        <f>SUMIF('展示用-2026年签约数据汇总（0702统计）'!C:C,C23,'展示用-2026年签约数据汇总（0702统计）'!M:M)</f>
        <v>0</v>
      </c>
      <c r="I23" s="72">
        <f>SUMIF('展示用-2026年签约数据汇总（0702统计）'!C:C,C23,'展示用-2026年签约数据汇总（0702统计）'!N:N)</f>
        <v>0</v>
      </c>
      <c r="J23" s="74"/>
      <c r="K23" s="74"/>
      <c r="L23" s="74"/>
      <c r="M23" s="74"/>
      <c r="N23" s="74"/>
      <c r="O23" s="74"/>
      <c r="P23" s="73">
        <f t="shared" si="1"/>
        <v>0</v>
      </c>
      <c r="Q23" s="64"/>
    </row>
    <row r="24" customFormat="1" ht="23" hidden="1" customHeight="1" spans="1:19">
      <c r="A24" s="64"/>
      <c r="B24" s="62" t="s">
        <v>77</v>
      </c>
      <c r="C24" s="28" t="s">
        <v>78</v>
      </c>
      <c r="D24" s="72">
        <f>SUMIF('展示用-2026年签约数据汇总（0702统计）'!C:C,C24,'展示用-2026年签约数据汇总（0702统计）'!I:I)</f>
        <v>0</v>
      </c>
      <c r="E24" s="72">
        <f>SUMIF('展示用-2026年签约数据汇总（0702统计）'!C:C,C24,'展示用-2026年签约数据汇总（0702统计）'!J:J)</f>
        <v>0</v>
      </c>
      <c r="F24" s="72">
        <f>SUMIF('展示用-2026年签约数据汇总（0702统计）'!C:C,C24,'展示用-2026年签约数据汇总（0702统计）'!K:K)</f>
        <v>0</v>
      </c>
      <c r="G24" s="72">
        <f>SUMIF('展示用-2026年签约数据汇总（0702统计）'!C:C,C24,'展示用-2026年签约数据汇总（0702统计）'!L:L)</f>
        <v>0</v>
      </c>
      <c r="H24" s="72">
        <f>SUMIF('展示用-2026年签约数据汇总（0702统计）'!C:C,C24,'展示用-2026年签约数据汇总（0702统计）'!M:M)</f>
        <v>0</v>
      </c>
      <c r="I24" s="72">
        <f>SUMIF('展示用-2026年签约数据汇总（0702统计）'!C:C,C24,'展示用-2026年签约数据汇总（0702统计）'!N:N)</f>
        <v>0</v>
      </c>
      <c r="J24" s="74"/>
      <c r="K24" s="74"/>
      <c r="L24" s="74"/>
      <c r="M24" s="74"/>
      <c r="N24" s="74"/>
      <c r="O24" s="74"/>
      <c r="P24" s="73">
        <f t="shared" si="1"/>
        <v>0</v>
      </c>
      <c r="Q24" s="64"/>
    </row>
    <row r="25" s="62" customFormat="1" ht="23" hidden="1" customHeight="1" spans="1:19">
      <c r="A25" s="64"/>
      <c r="B25" s="76" t="s">
        <v>79</v>
      </c>
      <c r="C25" s="28" t="s">
        <v>80</v>
      </c>
      <c r="D25" s="72">
        <f>SUMIF('展示用-2026年签约数据汇总（0702统计）'!C:C,C25,'展示用-2026年签约数据汇总（0702统计）'!I:I)</f>
        <v>0</v>
      </c>
      <c r="E25" s="72">
        <f>SUMIF('展示用-2026年签约数据汇总（0702统计）'!C:C,C25,'展示用-2026年签约数据汇总（0702统计）'!J:J)</f>
        <v>0</v>
      </c>
      <c r="F25" s="72">
        <f>SUMIF('展示用-2026年签约数据汇总（0702统计）'!C:C,C25,'展示用-2026年签约数据汇总（0702统计）'!K:K)</f>
        <v>0</v>
      </c>
      <c r="G25" s="72">
        <f>SUMIF('展示用-2026年签约数据汇总（0702统计）'!C:C,C25,'展示用-2026年签约数据汇总（0702统计）'!L:L)</f>
        <v>0</v>
      </c>
      <c r="H25" s="72">
        <f>SUMIF('展示用-2026年签约数据汇总（0702统计）'!C:C,C25,'展示用-2026年签约数据汇总（0702统计）'!M:M)</f>
        <v>0</v>
      </c>
      <c r="I25" s="72">
        <f>SUMIF('展示用-2026年签约数据汇总（0702统计）'!C:C,C25,'展示用-2026年签约数据汇总（0702统计）'!N:N)</f>
        <v>0</v>
      </c>
      <c r="J25" s="74"/>
      <c r="K25" s="74"/>
      <c r="L25" s="74"/>
      <c r="M25" s="74"/>
      <c r="N25" s="74"/>
      <c r="O25" s="74"/>
      <c r="P25" s="73">
        <f t="shared" si="1"/>
        <v>0</v>
      </c>
      <c r="Q25" s="64"/>
    </row>
    <row r="26" customFormat="1" spans="1:19">
      <c r="A26" s="64"/>
      <c r="B26" s="77" t="s">
        <v>54</v>
      </c>
      <c r="C26" s="74"/>
      <c r="D26" s="74">
        <f t="shared" ref="D26:P26" si="2">SUM(D5:D25)</f>
        <v>0</v>
      </c>
      <c r="E26" s="74">
        <f t="shared" si="2"/>
        <v>0</v>
      </c>
      <c r="F26" s="74">
        <f t="shared" si="2"/>
        <v>0</v>
      </c>
      <c r="G26" s="74">
        <f t="shared" si="2"/>
        <v>0</v>
      </c>
      <c r="H26" s="74">
        <f t="shared" si="2"/>
        <v>0</v>
      </c>
      <c r="I26" s="74">
        <f t="shared" si="2"/>
        <v>0</v>
      </c>
      <c r="J26" s="74">
        <f t="shared" si="2"/>
        <v>0</v>
      </c>
      <c r="K26" s="74">
        <f t="shared" si="2"/>
        <v>0</v>
      </c>
      <c r="L26" s="74">
        <f t="shared" si="2"/>
        <v>0</v>
      </c>
      <c r="M26" s="74">
        <f t="shared" si="2"/>
        <v>0</v>
      </c>
      <c r="N26" s="74">
        <f t="shared" si="2"/>
        <v>0</v>
      </c>
      <c r="O26" s="74">
        <f t="shared" si="2"/>
        <v>0</v>
      </c>
      <c r="P26" s="74">
        <f t="shared" si="2"/>
        <v>0</v>
      </c>
      <c r="Q26" s="64"/>
    </row>
    <row r="27" spans="1:19">
      <c r="A27" s="64"/>
      <c r="Q27" s="64"/>
    </row>
    <row r="28" spans="1:19">
      <c r="A28" s="64"/>
      <c r="P28" s="78"/>
      <c r="Q28" s="64"/>
    </row>
    <row r="29" spans="1:19">
      <c r="A29" s="64"/>
      <c r="P29" s="78"/>
      <c r="Q29" s="64"/>
    </row>
    <row r="30" spans="1:19">
      <c r="A30" s="64"/>
      <c r="P30" s="78"/>
      <c r="Q30" s="64"/>
    </row>
    <row r="31" spans="1:19">
      <c r="A31" s="64"/>
      <c r="P31" s="78"/>
      <c r="Q31" s="64"/>
    </row>
    <row r="32" spans="1:19">
      <c r="A32" s="64"/>
      <c r="P32" s="78"/>
      <c r="Q32" s="64"/>
    </row>
    <row r="33" spans="1:17">
      <c r="A33" s="64"/>
      <c r="P33" s="78"/>
      <c r="Q33" s="64"/>
    </row>
    <row r="34" spans="1:17">
      <c r="A34" s="64"/>
      <c r="P34" s="78"/>
      <c r="Q34" s="64"/>
    </row>
    <row r="35" spans="1:17">
      <c r="A35" s="64"/>
      <c r="P35" s="78"/>
      <c r="Q35" s="64"/>
    </row>
    <row r="36" spans="1:17">
      <c r="A36" s="64"/>
      <c r="P36" s="78"/>
      <c r="Q36" s="64"/>
    </row>
    <row r="37" spans="1:17">
      <c r="A37" s="64"/>
      <c r="P37" s="78"/>
      <c r="Q37" s="64"/>
    </row>
    <row r="38" spans="1:17">
      <c r="A38" s="64"/>
      <c r="P38" s="78"/>
      <c r="Q38" s="64"/>
    </row>
    <row r="39" spans="1:17">
      <c r="A39" s="64"/>
      <c r="P39" s="78"/>
      <c r="Q39" s="64"/>
    </row>
    <row r="40" spans="1:17">
      <c r="A40" s="64"/>
      <c r="P40" s="78"/>
      <c r="Q40" s="64"/>
    </row>
    <row r="41" spans="1:17">
      <c r="A41" s="64"/>
      <c r="P41" s="78"/>
      <c r="Q41" s="64"/>
    </row>
    <row r="42" spans="1:17">
      <c r="A42" s="64"/>
      <c r="P42" s="78"/>
      <c r="Q42" s="64"/>
    </row>
    <row r="43" spans="1:17">
      <c r="A43" s="64"/>
      <c r="Q43" s="64"/>
    </row>
    <row r="44" s="61" customFormat="1" ht="13" customHeight="1" spans="1:17">
      <c r="A44" s="64"/>
      <c r="B44" s="64"/>
      <c r="C44" s="65"/>
      <c r="D44" s="65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</row>
    <row r="46" spans="1:17">
      <c r="B46" t="s">
        <v>81</v>
      </c>
      <c r="C46" t="s">
        <v>55</v>
      </c>
      <c r="D46" s="79">
        <f>SUM(D5:D9)</f>
        <v>0</v>
      </c>
      <c r="E46" s="79"/>
      <c r="F46" s="79">
        <f t="shared" ref="F46:O46" si="3">SUM(F5:F9)</f>
        <v>0</v>
      </c>
      <c r="G46" s="79">
        <f t="shared" si="3"/>
        <v>0</v>
      </c>
      <c r="H46" s="79">
        <f t="shared" si="3"/>
        <v>0</v>
      </c>
      <c r="I46" s="79">
        <f t="shared" si="3"/>
        <v>0</v>
      </c>
      <c r="J46" s="79">
        <f t="shared" si="3"/>
        <v>0</v>
      </c>
      <c r="K46" s="79">
        <f t="shared" si="3"/>
        <v>0</v>
      </c>
      <c r="L46" s="79">
        <f t="shared" si="3"/>
        <v>0</v>
      </c>
      <c r="M46" s="79">
        <f t="shared" si="3"/>
        <v>0</v>
      </c>
      <c r="N46" s="79">
        <f t="shared" si="3"/>
        <v>0</v>
      </c>
      <c r="O46" s="79">
        <f t="shared" si="3"/>
        <v>0</v>
      </c>
      <c r="P46" s="80">
        <f t="shared" ref="P46:P52" si="4">SUM(D46:O46)</f>
        <v>0</v>
      </c>
    </row>
    <row r="47" ht="18" customHeight="1" spans="1:17">
      <c r="C47" t="s">
        <v>21</v>
      </c>
      <c r="D47" s="79">
        <f>SUM(D15:D18)</f>
        <v>0</v>
      </c>
      <c r="E47" s="79"/>
      <c r="F47" s="79">
        <f t="shared" ref="F47:O47" si="5">SUM(F15:F18)</f>
        <v>0</v>
      </c>
      <c r="G47" s="79">
        <f t="shared" si="5"/>
        <v>0</v>
      </c>
      <c r="H47" s="79">
        <f t="shared" si="5"/>
        <v>0</v>
      </c>
      <c r="I47" s="79">
        <f t="shared" si="5"/>
        <v>0</v>
      </c>
      <c r="J47" s="79">
        <f t="shared" si="5"/>
        <v>0</v>
      </c>
      <c r="K47" s="79">
        <f t="shared" si="5"/>
        <v>0</v>
      </c>
      <c r="L47" s="79">
        <f t="shared" si="5"/>
        <v>0</v>
      </c>
      <c r="M47" s="79">
        <f t="shared" si="5"/>
        <v>0</v>
      </c>
      <c r="N47" s="79">
        <f t="shared" si="5"/>
        <v>0</v>
      </c>
      <c r="O47" s="79">
        <f t="shared" si="5"/>
        <v>0</v>
      </c>
      <c r="P47" s="80">
        <f t="shared" si="4"/>
        <v>0</v>
      </c>
    </row>
    <row r="48" ht="18" customHeight="1" spans="1:17">
      <c r="C48" t="s">
        <v>71</v>
      </c>
      <c r="D48" s="79">
        <f>SUM(D19:D22)</f>
        <v>0</v>
      </c>
      <c r="E48" s="79"/>
      <c r="F48" s="79">
        <f t="shared" ref="F48:O48" si="6">SUM(F19:F22)</f>
        <v>0</v>
      </c>
      <c r="G48" s="79">
        <f t="shared" si="6"/>
        <v>0</v>
      </c>
      <c r="H48" s="79">
        <f t="shared" si="6"/>
        <v>0</v>
      </c>
      <c r="I48" s="79">
        <f t="shared" si="6"/>
        <v>0</v>
      </c>
      <c r="J48" s="79">
        <f t="shared" si="6"/>
        <v>0</v>
      </c>
      <c r="K48" s="79">
        <f t="shared" si="6"/>
        <v>0</v>
      </c>
      <c r="L48" s="79">
        <f t="shared" si="6"/>
        <v>0</v>
      </c>
      <c r="M48" s="79">
        <f t="shared" si="6"/>
        <v>0</v>
      </c>
      <c r="N48" s="79">
        <f t="shared" si="6"/>
        <v>0</v>
      </c>
      <c r="O48" s="79">
        <f t="shared" si="6"/>
        <v>0</v>
      </c>
      <c r="P48" s="80">
        <f t="shared" si="4"/>
        <v>0</v>
      </c>
    </row>
    <row r="49" ht="18" customHeight="1" spans="1:17">
      <c r="C49" t="s">
        <v>49</v>
      </c>
      <c r="D49" s="79">
        <f>D23</f>
        <v>0</v>
      </c>
      <c r="E49" s="79"/>
      <c r="F49" s="79">
        <f t="shared" ref="F49:O49" si="7">F23</f>
        <v>0</v>
      </c>
      <c r="G49" s="79">
        <f t="shared" si="7"/>
        <v>0</v>
      </c>
      <c r="H49" s="79">
        <f t="shared" si="7"/>
        <v>0</v>
      </c>
      <c r="I49" s="79">
        <f t="shared" si="7"/>
        <v>0</v>
      </c>
      <c r="J49" s="79">
        <f t="shared" si="7"/>
        <v>0</v>
      </c>
      <c r="K49" s="79">
        <f t="shared" si="7"/>
        <v>0</v>
      </c>
      <c r="L49" s="79">
        <f t="shared" si="7"/>
        <v>0</v>
      </c>
      <c r="M49" s="79">
        <f t="shared" si="7"/>
        <v>0</v>
      </c>
      <c r="N49" s="79">
        <f t="shared" si="7"/>
        <v>0</v>
      </c>
      <c r="O49" s="79">
        <f t="shared" si="7"/>
        <v>0</v>
      </c>
      <c r="P49" s="80">
        <f t="shared" si="4"/>
        <v>0</v>
      </c>
    </row>
    <row r="50" s="63" customFormat="1" ht="18" hidden="1" customHeight="1" spans="1:17">
      <c r="A50" s="61"/>
      <c r="B50"/>
      <c r="C50" t="s">
        <v>77</v>
      </c>
      <c r="D50" s="79">
        <f>D24</f>
        <v>0</v>
      </c>
      <c r="E50" s="79"/>
      <c r="F50" s="79">
        <f t="shared" ref="F50:O50" si="8">F24</f>
        <v>0</v>
      </c>
      <c r="G50" s="79">
        <f t="shared" si="8"/>
        <v>0</v>
      </c>
      <c r="H50" s="79">
        <f t="shared" si="8"/>
        <v>0</v>
      </c>
      <c r="I50" s="79">
        <f t="shared" si="8"/>
        <v>0</v>
      </c>
      <c r="J50" s="79">
        <f t="shared" si="8"/>
        <v>0</v>
      </c>
      <c r="K50" s="79">
        <f t="shared" si="8"/>
        <v>0</v>
      </c>
      <c r="L50" s="79">
        <f t="shared" si="8"/>
        <v>0</v>
      </c>
      <c r="M50" s="79">
        <f t="shared" si="8"/>
        <v>0</v>
      </c>
      <c r="N50" s="79">
        <f t="shared" si="8"/>
        <v>0</v>
      </c>
      <c r="O50" s="79">
        <f t="shared" si="8"/>
        <v>0</v>
      </c>
      <c r="P50" s="80">
        <f t="shared" si="4"/>
        <v>0</v>
      </c>
      <c r="Q50" s="61"/>
    </row>
    <row r="51" s="63" customFormat="1" ht="18" customHeight="1" spans="1:17">
      <c r="A51" s="61"/>
      <c r="B51"/>
      <c r="C51" t="s">
        <v>79</v>
      </c>
      <c r="D51" s="79">
        <f>D25</f>
        <v>0</v>
      </c>
      <c r="E51" s="79"/>
      <c r="F51" s="79">
        <f t="shared" ref="F51:O51" si="9">F25</f>
        <v>0</v>
      </c>
      <c r="G51" s="79">
        <f t="shared" si="9"/>
        <v>0</v>
      </c>
      <c r="H51" s="79">
        <f t="shared" si="9"/>
        <v>0</v>
      </c>
      <c r="I51" s="79">
        <f t="shared" si="9"/>
        <v>0</v>
      </c>
      <c r="J51" s="79">
        <f t="shared" si="9"/>
        <v>0</v>
      </c>
      <c r="K51" s="79">
        <f t="shared" si="9"/>
        <v>0</v>
      </c>
      <c r="L51" s="79">
        <f t="shared" si="9"/>
        <v>0</v>
      </c>
      <c r="M51" s="79">
        <f t="shared" si="9"/>
        <v>0</v>
      </c>
      <c r="N51" s="79">
        <f t="shared" si="9"/>
        <v>0</v>
      </c>
      <c r="O51" s="79">
        <f t="shared" si="9"/>
        <v>0</v>
      </c>
      <c r="P51" s="80">
        <f t="shared" si="4"/>
        <v>0</v>
      </c>
      <c r="Q51" s="61"/>
    </row>
    <row r="52" s="63" customFormat="1" ht="18" customHeight="1" spans="1:17">
      <c r="A52" s="61"/>
      <c r="B52"/>
      <c r="C52" t="s">
        <v>54</v>
      </c>
      <c r="D52" s="80">
        <f>SUM(D46:D51)</f>
        <v>0</v>
      </c>
      <c r="E52" s="80"/>
      <c r="F52" s="80">
        <f t="shared" ref="F52:O52" si="10">SUM(F46:F51)</f>
        <v>0</v>
      </c>
      <c r="G52" s="80">
        <f t="shared" si="10"/>
        <v>0</v>
      </c>
      <c r="H52" s="80">
        <f t="shared" si="10"/>
        <v>0</v>
      </c>
      <c r="I52" s="80">
        <f t="shared" si="10"/>
        <v>0</v>
      </c>
      <c r="J52" s="80">
        <f t="shared" si="10"/>
        <v>0</v>
      </c>
      <c r="K52" s="80">
        <f t="shared" si="10"/>
        <v>0</v>
      </c>
      <c r="L52" s="80">
        <f t="shared" si="10"/>
        <v>0</v>
      </c>
      <c r="M52" s="80">
        <f t="shared" si="10"/>
        <v>0</v>
      </c>
      <c r="N52" s="80">
        <f t="shared" si="10"/>
        <v>0</v>
      </c>
      <c r="O52" s="80">
        <f t="shared" si="10"/>
        <v>0</v>
      </c>
      <c r="P52" s="80">
        <f t="shared" si="4"/>
        <v>0</v>
      </c>
      <c r="Q52" s="61"/>
    </row>
    <row r="53" s="63" customFormat="1" ht="18" customHeight="1" spans="1:17">
      <c r="A53" s="61"/>
      <c r="Q53" s="61"/>
    </row>
    <row r="54" ht="18" customHeight="1"/>
    <row r="55" spans="1:17">
      <c r="B55" t="s">
        <v>82</v>
      </c>
    </row>
    <row r="56" spans="1:17">
      <c r="B56" t="s">
        <v>83</v>
      </c>
    </row>
    <row r="57" spans="1:17">
      <c r="B57" t="s">
        <v>84</v>
      </c>
    </row>
    <row r="58" spans="1:17">
      <c r="B58" s="63" t="s">
        <v>85</v>
      </c>
    </row>
    <row r="59" spans="1:17">
      <c r="B59" s="63" t="s">
        <v>86</v>
      </c>
    </row>
    <row r="60" spans="1:17">
      <c r="B60" s="63" t="s">
        <v>87</v>
      </c>
    </row>
    <row r="61" spans="1:17">
      <c r="B61" s="63" t="s">
        <v>88</v>
      </c>
    </row>
    <row r="62" spans="1:17">
      <c r="B62" t="s">
        <v>89</v>
      </c>
    </row>
  </sheetData>
  <mergeCells count="5">
    <mergeCell ref="C2:P2"/>
    <mergeCell ref="B3:P3"/>
    <mergeCell ref="B5:B9"/>
    <mergeCell ref="B15:B18"/>
    <mergeCell ref="B19:B22"/>
  </mergeCells>
  <conditionalFormatting sqref="E5:E25">
    <cfRule type="top10" dxfId="0" priority="3" rank="1"/>
  </conditionalFormatting>
  <conditionalFormatting sqref="F5:F25">
    <cfRule type="top10" dxfId="1" priority="4" rank="1"/>
  </conditionalFormatting>
  <conditionalFormatting sqref="G5:G25">
    <cfRule type="top10" dxfId="1" priority="2" rank="1"/>
  </conditionalFormatting>
  <conditionalFormatting sqref="H5:H25">
    <cfRule type="top10" dxfId="1" priority="1" rank="1"/>
  </conditionalFormatting>
  <conditionalFormatting sqref="P5:P25">
    <cfRule type="top10" dxfId="1" priority="9" rank="1"/>
  </conditionalFormatting>
  <conditionalFormatting sqref="D5:E25">
    <cfRule type="top10" dxfId="1" priority="5" rank="1"/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"/>
  <sheetViews>
    <sheetView showGridLines="0" zoomScale="85" zoomScaleNormal="85" workbookViewId="0">
      <pane xSplit="17" ySplit="3" topLeftCell="V4" activePane="bottomRight" state="frozen"/>
      <selection/>
      <selection pane="topRight"/>
      <selection pane="bottomLeft"/>
      <selection pane="bottomRight" activeCell="K24" sqref="K24"/>
    </sheetView>
  </sheetViews>
  <sheetFormatPr defaultColWidth="9" defaultRowHeight="19" customHeight="1"/>
  <cols>
    <col min="1" max="1" width="6.87962962962963" style="17" customWidth="1"/>
    <col min="2" max="2" width="11.787037037037" style="18" customWidth="1"/>
    <col min="3" max="3" width="21.0740740740741" style="18" customWidth="1"/>
    <col min="4" max="4" width="21.462962962963" style="18" customWidth="1"/>
    <col min="5" max="5" width="10.787037037037" style="19" hidden="1" customWidth="1"/>
    <col min="6" max="6" width="16.7777777777778" style="20" customWidth="1"/>
    <col min="7" max="7" width="11.4259259259259" style="21" customWidth="1"/>
    <col min="8" max="8" width="15.5555555555556" style="21" customWidth="1"/>
    <col min="9" max="9" width="15.6851851851852" style="22" customWidth="1"/>
    <col min="10" max="10" width="20.7222222222222" style="22" customWidth="1"/>
    <col min="11" max="11" width="14.6388888888889" style="22" customWidth="1"/>
    <col min="12" max="12" width="13.8703703703704" style="23" hidden="1" customWidth="1"/>
    <col min="13" max="13" width="16.3425925925926" style="23" hidden="1" customWidth="1"/>
    <col min="14" max="14" width="8.37962962962963" style="24" customWidth="1"/>
    <col min="15" max="15" width="8.56481481481481" style="25" hidden="1" customWidth="1"/>
    <col min="16" max="16" width="18.75" style="26" customWidth="1"/>
    <col min="17" max="17" width="10.8888888888889" style="27" hidden="1" customWidth="1"/>
    <col min="18" max="28" width="17.6574074074074" style="21" customWidth="1"/>
    <col min="29" max="29" width="15.712962962963" style="21" customWidth="1"/>
    <col min="30" max="30" width="10.3796296296296" style="28" customWidth="1"/>
    <col min="31" max="31" width="14.3333333333333" style="28" customWidth="1"/>
    <col min="32" max="16381" width="8.88888888888889" style="28" customWidth="1"/>
    <col min="16382" max="16384" width="9" style="28" customWidth="1"/>
  </cols>
  <sheetData>
    <row r="1" ht="27" customHeight="1" spans="1:29">
      <c r="A1" s="29" t="s">
        <v>90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1"/>
      <c r="S1" s="31"/>
      <c r="T1" s="31"/>
      <c r="U1" s="30"/>
      <c r="V1" s="30"/>
      <c r="W1" s="30"/>
      <c r="X1" s="30"/>
      <c r="Y1" s="30"/>
      <c r="Z1" s="30"/>
      <c r="AA1" s="30"/>
      <c r="AB1" s="30"/>
      <c r="AC1" s="30"/>
    </row>
    <row r="2" ht="24" spans="1:29">
      <c r="A2" s="32" t="s">
        <v>91</v>
      </c>
      <c r="B2" s="32" t="s">
        <v>92</v>
      </c>
      <c r="C2" s="32" t="s">
        <v>93</v>
      </c>
      <c r="D2" s="32" t="s">
        <v>94</v>
      </c>
      <c r="E2" s="33" t="s">
        <v>95</v>
      </c>
      <c r="F2" s="34" t="s">
        <v>96</v>
      </c>
      <c r="G2" s="35" t="s">
        <v>97</v>
      </c>
      <c r="H2" s="35" t="s">
        <v>98</v>
      </c>
      <c r="I2" s="36" t="s">
        <v>99</v>
      </c>
      <c r="J2" s="36" t="s">
        <v>100</v>
      </c>
      <c r="K2" s="36" t="s">
        <v>101</v>
      </c>
      <c r="L2" s="37" t="s">
        <v>102</v>
      </c>
      <c r="M2" s="37" t="s">
        <v>103</v>
      </c>
      <c r="N2" s="38" t="s">
        <v>104</v>
      </c>
      <c r="O2" s="39" t="s">
        <v>105</v>
      </c>
      <c r="P2" s="35" t="s">
        <v>106</v>
      </c>
      <c r="Q2" s="35" t="s">
        <v>7</v>
      </c>
      <c r="R2" s="35" t="s">
        <v>107</v>
      </c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</row>
    <row r="3" ht="14.4" spans="1:29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35" t="s">
        <v>9</v>
      </c>
      <c r="S3" s="35" t="s">
        <v>10</v>
      </c>
      <c r="T3" s="35" t="s">
        <v>11</v>
      </c>
      <c r="U3" s="35" t="s">
        <v>12</v>
      </c>
      <c r="V3" s="35" t="s">
        <v>13</v>
      </c>
      <c r="W3" s="35" t="s">
        <v>14</v>
      </c>
      <c r="X3" s="35" t="s">
        <v>15</v>
      </c>
      <c r="Y3" s="35" t="s">
        <v>16</v>
      </c>
      <c r="Z3" s="35" t="s">
        <v>17</v>
      </c>
      <c r="AA3" s="35" t="s">
        <v>18</v>
      </c>
      <c r="AB3" s="35" t="s">
        <v>19</v>
      </c>
      <c r="AC3" s="35" t="s">
        <v>20</v>
      </c>
    </row>
    <row r="4" ht="17" customHeight="1" spans="1:29">
      <c r="A4" s="41" t="s">
        <v>108</v>
      </c>
      <c r="B4" s="41" t="s">
        <v>109</v>
      </c>
      <c r="C4" s="41"/>
      <c r="D4" s="41"/>
      <c r="E4" s="42"/>
      <c r="F4" s="43">
        <v>18700</v>
      </c>
      <c r="G4" s="43"/>
      <c r="H4" s="43"/>
      <c r="I4" s="44">
        <f>SUM(R4:AC4)</f>
        <v>18700</v>
      </c>
      <c r="J4" s="44">
        <f>SUM(H4:I4)</f>
        <v>18700</v>
      </c>
      <c r="K4" s="44">
        <f>F4-J4</f>
        <v>0</v>
      </c>
      <c r="L4" s="44">
        <v>1</v>
      </c>
      <c r="M4" s="44"/>
      <c r="N4" s="45">
        <f>IFERROR(J4/F4,0)</f>
        <v>1</v>
      </c>
      <c r="O4" s="44"/>
      <c r="P4" s="46"/>
      <c r="Q4" s="43"/>
      <c r="R4" s="43"/>
      <c r="S4" s="43">
        <v>18700</v>
      </c>
      <c r="T4" s="43"/>
      <c r="U4" s="43"/>
      <c r="V4" s="43"/>
      <c r="W4" s="43"/>
      <c r="X4" s="43"/>
      <c r="Y4" s="43"/>
      <c r="Z4" s="47"/>
      <c r="AA4" s="43"/>
      <c r="AB4" s="44"/>
      <c r="AC4" s="43"/>
    </row>
    <row r="5" ht="17" customHeight="1" spans="1:29">
      <c r="A5" s="48"/>
      <c r="B5" s="48"/>
      <c r="C5" s="48"/>
      <c r="D5" s="49" t="s">
        <v>110</v>
      </c>
      <c r="E5" s="50"/>
      <c r="F5" s="51">
        <f t="shared" ref="F5:M5" si="0">SUM(F4:F4)</f>
        <v>18700</v>
      </c>
      <c r="G5" s="51">
        <f t="shared" si="0"/>
        <v>0</v>
      </c>
      <c r="H5" s="51">
        <f t="shared" si="0"/>
        <v>0</v>
      </c>
      <c r="I5" s="51">
        <f t="shared" si="0"/>
        <v>18700</v>
      </c>
      <c r="J5" s="51">
        <f t="shared" si="0"/>
        <v>18700</v>
      </c>
      <c r="K5" s="51">
        <f t="shared" si="0"/>
        <v>0</v>
      </c>
      <c r="L5" s="51">
        <f t="shared" si="0"/>
        <v>1</v>
      </c>
      <c r="M5" s="51">
        <f t="shared" si="0"/>
        <v>0</v>
      </c>
      <c r="N5" s="52">
        <f>IFERROR(J5/F5,0)</f>
        <v>1</v>
      </c>
      <c r="O5" s="51">
        <f>SUM(O4:O4)</f>
        <v>0</v>
      </c>
      <c r="P5" s="53"/>
      <c r="Q5" s="51"/>
      <c r="R5" s="51">
        <f t="shared" ref="R5:AC5" si="1">SUM(R4:R4)</f>
        <v>0</v>
      </c>
      <c r="S5" s="51">
        <f t="shared" si="1"/>
        <v>18700</v>
      </c>
      <c r="T5" s="51">
        <f t="shared" si="1"/>
        <v>0</v>
      </c>
      <c r="U5" s="51">
        <f t="shared" si="1"/>
        <v>0</v>
      </c>
      <c r="V5" s="51">
        <f t="shared" si="1"/>
        <v>0</v>
      </c>
      <c r="W5" s="51">
        <f t="shared" si="1"/>
        <v>0</v>
      </c>
      <c r="X5" s="51">
        <f t="shared" si="1"/>
        <v>0</v>
      </c>
      <c r="Y5" s="51">
        <f t="shared" si="1"/>
        <v>0</v>
      </c>
      <c r="Z5" s="51">
        <f t="shared" si="1"/>
        <v>0</v>
      </c>
      <c r="AA5" s="51">
        <f t="shared" si="1"/>
        <v>0</v>
      </c>
      <c r="AB5" s="51">
        <f t="shared" si="1"/>
        <v>0</v>
      </c>
      <c r="AC5" s="51">
        <f t="shared" si="1"/>
        <v>0</v>
      </c>
    </row>
    <row r="6" ht="17" customHeight="1" spans="1:29">
      <c r="A6" s="54"/>
      <c r="B6" s="54"/>
      <c r="C6" s="54"/>
      <c r="D6" s="54"/>
      <c r="E6" s="55"/>
      <c r="F6" s="54"/>
      <c r="G6" s="54"/>
      <c r="H6" s="54"/>
      <c r="I6" s="54"/>
      <c r="J6" s="54"/>
      <c r="K6" s="54"/>
      <c r="L6" s="56"/>
      <c r="M6" s="56"/>
      <c r="N6" s="57"/>
      <c r="O6" s="54"/>
      <c r="P6" s="58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ht="17" customHeight="1" spans="1:29">
      <c r="A7" s="41" t="s">
        <v>111</v>
      </c>
      <c r="B7" s="41" t="s">
        <v>112</v>
      </c>
      <c r="C7" s="41"/>
      <c r="D7" s="41"/>
      <c r="E7" s="42"/>
      <c r="F7" s="43">
        <v>18700</v>
      </c>
      <c r="G7" s="43"/>
      <c r="H7" s="43"/>
      <c r="I7" s="44">
        <f>SUM(R7:AC7)</f>
        <v>18700</v>
      </c>
      <c r="J7" s="44">
        <f>SUM(H7:I7)</f>
        <v>18700</v>
      </c>
      <c r="K7" s="44">
        <f>F7-J7</f>
        <v>0</v>
      </c>
      <c r="L7" s="44">
        <v>1</v>
      </c>
      <c r="M7" s="44"/>
      <c r="N7" s="45">
        <f>IFERROR(J7/F7,0)</f>
        <v>1</v>
      </c>
      <c r="O7" s="44"/>
      <c r="P7" s="46"/>
      <c r="Q7" s="43"/>
      <c r="R7" s="43"/>
      <c r="S7" s="43">
        <v>18700</v>
      </c>
      <c r="T7" s="43"/>
      <c r="U7" s="43"/>
      <c r="V7" s="43"/>
      <c r="W7" s="43"/>
      <c r="X7" s="43"/>
      <c r="Y7" s="43"/>
      <c r="Z7" s="47"/>
      <c r="AA7" s="43"/>
      <c r="AB7" s="44"/>
      <c r="AC7" s="43"/>
    </row>
    <row r="8" ht="17" customHeight="1" spans="1:29">
      <c r="A8" s="48"/>
      <c r="B8" s="48"/>
      <c r="C8" s="48"/>
      <c r="D8" s="49" t="s">
        <v>110</v>
      </c>
      <c r="E8" s="50"/>
      <c r="F8" s="51">
        <f t="shared" ref="F8:M8" si="2">SUM(F7:F7)</f>
        <v>18700</v>
      </c>
      <c r="G8" s="51">
        <f t="shared" si="2"/>
        <v>0</v>
      </c>
      <c r="H8" s="51">
        <f t="shared" si="2"/>
        <v>0</v>
      </c>
      <c r="I8" s="51">
        <f t="shared" si="2"/>
        <v>18700</v>
      </c>
      <c r="J8" s="51">
        <f t="shared" si="2"/>
        <v>18700</v>
      </c>
      <c r="K8" s="51">
        <f t="shared" si="2"/>
        <v>0</v>
      </c>
      <c r="L8" s="51">
        <f t="shared" si="2"/>
        <v>1</v>
      </c>
      <c r="M8" s="51">
        <f t="shared" si="2"/>
        <v>0</v>
      </c>
      <c r="N8" s="52">
        <f>IFERROR(J8/F8,0)</f>
        <v>1</v>
      </c>
      <c r="O8" s="51">
        <f>SUM(O7:O7)</f>
        <v>0</v>
      </c>
      <c r="P8" s="53"/>
      <c r="Q8" s="51"/>
      <c r="R8" s="51">
        <f t="shared" ref="R8:AC8" si="3">SUM(R7:R7)</f>
        <v>0</v>
      </c>
      <c r="S8" s="51">
        <f t="shared" si="3"/>
        <v>18700</v>
      </c>
      <c r="T8" s="51">
        <f t="shared" si="3"/>
        <v>0</v>
      </c>
      <c r="U8" s="51">
        <f t="shared" si="3"/>
        <v>0</v>
      </c>
      <c r="V8" s="51">
        <f t="shared" si="3"/>
        <v>0</v>
      </c>
      <c r="W8" s="51">
        <f t="shared" si="3"/>
        <v>0</v>
      </c>
      <c r="X8" s="51">
        <f t="shared" si="3"/>
        <v>0</v>
      </c>
      <c r="Y8" s="51">
        <f t="shared" si="3"/>
        <v>0</v>
      </c>
      <c r="Z8" s="51">
        <f t="shared" si="3"/>
        <v>0</v>
      </c>
      <c r="AA8" s="51">
        <f t="shared" si="3"/>
        <v>0</v>
      </c>
      <c r="AB8" s="51">
        <f t="shared" si="3"/>
        <v>0</v>
      </c>
      <c r="AC8" s="51">
        <f t="shared" si="3"/>
        <v>0</v>
      </c>
    </row>
    <row r="9" ht="17" customHeight="1" spans="1:29">
      <c r="A9" s="59"/>
      <c r="B9" s="59"/>
      <c r="C9" s="59"/>
      <c r="D9" s="60" t="s">
        <v>113</v>
      </c>
      <c r="E9" s="50"/>
      <c r="F9" s="51">
        <f t="shared" ref="F9:M9" si="4">SUM(F5,F8)</f>
        <v>37400</v>
      </c>
      <c r="G9" s="51">
        <f t="shared" si="4"/>
        <v>0</v>
      </c>
      <c r="H9" s="51">
        <f t="shared" si="4"/>
        <v>0</v>
      </c>
      <c r="I9" s="51">
        <f t="shared" si="4"/>
        <v>37400</v>
      </c>
      <c r="J9" s="51">
        <f t="shared" si="4"/>
        <v>37400</v>
      </c>
      <c r="K9" s="51">
        <f t="shared" si="4"/>
        <v>0</v>
      </c>
      <c r="L9" s="51">
        <f t="shared" si="4"/>
        <v>2</v>
      </c>
      <c r="M9" s="51">
        <f t="shared" si="4"/>
        <v>0</v>
      </c>
      <c r="N9" s="52">
        <f>IFERROR(J9/F9,0)</f>
        <v>1</v>
      </c>
      <c r="O9" s="51">
        <f>SUM(O5,O8)</f>
        <v>0</v>
      </c>
      <c r="P9" s="51"/>
      <c r="Q9" s="51"/>
      <c r="R9" s="51">
        <f t="shared" ref="R9:AC9" si="5">SUM(R5,R8)</f>
        <v>0</v>
      </c>
      <c r="S9" s="51">
        <f t="shared" si="5"/>
        <v>37400</v>
      </c>
      <c r="T9" s="51">
        <f t="shared" si="5"/>
        <v>0</v>
      </c>
      <c r="U9" s="51">
        <f t="shared" si="5"/>
        <v>0</v>
      </c>
      <c r="V9" s="51">
        <f t="shared" si="5"/>
        <v>0</v>
      </c>
      <c r="W9" s="51">
        <f t="shared" si="5"/>
        <v>0</v>
      </c>
      <c r="X9" s="51">
        <f t="shared" si="5"/>
        <v>0</v>
      </c>
      <c r="Y9" s="51">
        <f t="shared" si="5"/>
        <v>0</v>
      </c>
      <c r="Z9" s="51">
        <f t="shared" si="5"/>
        <v>0</v>
      </c>
      <c r="AA9" s="51">
        <f t="shared" si="5"/>
        <v>0</v>
      </c>
      <c r="AB9" s="51">
        <f t="shared" si="5"/>
        <v>0</v>
      </c>
      <c r="AC9" s="51">
        <f t="shared" si="5"/>
        <v>0</v>
      </c>
    </row>
  </sheetData>
  <autoFilter xmlns:etc="http://www.wps.cn/officeDocument/2017/etCustomData" ref="A2:AC9" etc:filterBottomFollowUsedRange="0">
    <extLst/>
  </autoFilter>
  <conditionalFormatting sqref="N4">
    <cfRule type="cellIs" dxfId="2" priority="36" operator="lessThan">
      <formula>1</formula>
    </cfRule>
  </conditionalFormatting>
  <conditionalFormatting sqref="N1:N3 N5:N1048576">
    <cfRule type="cellIs" dxfId="2" priority="96" operator="lessThan">
      <formula>1</formula>
    </cfRule>
  </conditionalFormatting>
  <dataValidations count="1">
    <dataValidation type="list" allowBlank="1" showInputMessage="1" showErrorMessage="1" sqref="B$1:B$1048576">
      <formula1>"广州德纳智谷科技有限公司,广东超元力文化科技有限公司,广州德为科技有限公司,庄志勇,其他"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E24" sqref="E24"/>
    </sheetView>
  </sheetViews>
  <sheetFormatPr defaultColWidth="9" defaultRowHeight="16" customHeight="1" outlineLevelRow="1"/>
  <cols>
    <col min="1" max="2" width="8.11111111111111" style="2" customWidth="1"/>
    <col min="3" max="3" width="13.2314814814815" style="2" customWidth="1"/>
    <col min="4" max="4" width="23.3796296296296" style="2" customWidth="1"/>
    <col min="5" max="5" width="23.75" style="2" customWidth="1"/>
    <col min="6" max="6" width="22.5" style="2" customWidth="1"/>
    <col min="7" max="7" width="11" style="2" customWidth="1"/>
    <col min="8" max="8" width="12.8148148148148" style="2" customWidth="1"/>
    <col min="9" max="9" width="10.75" style="2" customWidth="1"/>
    <col min="10" max="10" width="15.3796296296296" style="2" customWidth="1"/>
    <col min="11" max="11" width="15" style="3" customWidth="1"/>
    <col min="12" max="12" width="13.5555555555556" style="4" customWidth="1"/>
    <col min="13" max="13" width="9.22222222222222" style="2" customWidth="1"/>
    <col min="14" max="14" width="11" style="3" customWidth="1"/>
    <col min="15" max="15" width="13.962962962963" style="4" customWidth="1"/>
    <col min="16" max="16" width="11.787037037037" style="4" customWidth="1"/>
    <col min="17" max="17" width="11" style="2" customWidth="1"/>
    <col min="18" max="18" width="15.7037037037037" style="2" customWidth="1"/>
    <col min="19" max="24" width="11" style="2" customWidth="1"/>
  </cols>
  <sheetData>
    <row r="1" s="1" customFormat="1" ht="15" customHeight="1" spans="1:25">
      <c r="A1" s="5" t="s">
        <v>0</v>
      </c>
      <c r="B1" s="5" t="s">
        <v>91</v>
      </c>
      <c r="C1" s="5" t="s">
        <v>92</v>
      </c>
      <c r="D1" s="5" t="s">
        <v>114</v>
      </c>
      <c r="E1" s="5" t="s">
        <v>94</v>
      </c>
      <c r="F1" s="5" t="s">
        <v>5</v>
      </c>
      <c r="G1" s="5" t="s">
        <v>115</v>
      </c>
      <c r="H1" s="5" t="s">
        <v>116</v>
      </c>
      <c r="I1" s="5" t="s">
        <v>117</v>
      </c>
      <c r="J1" s="5" t="s">
        <v>118</v>
      </c>
      <c r="K1" s="5" t="s">
        <v>119</v>
      </c>
      <c r="L1" s="6" t="s">
        <v>120</v>
      </c>
      <c r="M1" s="5" t="s">
        <v>97</v>
      </c>
      <c r="N1" s="5" t="s">
        <v>121</v>
      </c>
      <c r="O1" s="6" t="s">
        <v>122</v>
      </c>
      <c r="P1" s="6" t="s">
        <v>104</v>
      </c>
      <c r="Q1" s="7" t="s">
        <v>123</v>
      </c>
      <c r="R1" s="8" t="s">
        <v>124</v>
      </c>
      <c r="S1" s="8" t="s">
        <v>125</v>
      </c>
      <c r="T1" s="8" t="s">
        <v>126</v>
      </c>
      <c r="U1" s="9" t="s">
        <v>127</v>
      </c>
      <c r="V1" s="9" t="s">
        <v>128</v>
      </c>
      <c r="W1" s="9" t="s">
        <v>129</v>
      </c>
      <c r="X1" s="5" t="s">
        <v>130</v>
      </c>
    </row>
    <row r="2" ht="15" customHeight="1" spans="1:25">
      <c r="A2" s="10" t="s">
        <v>21</v>
      </c>
      <c r="B2" s="10" t="s">
        <v>70</v>
      </c>
      <c r="C2" s="10" t="s">
        <v>131</v>
      </c>
      <c r="D2" s="10" t="s">
        <v>132</v>
      </c>
      <c r="E2" s="10" t="s">
        <v>133</v>
      </c>
      <c r="F2" s="10"/>
      <c r="G2" s="10" t="s">
        <v>134</v>
      </c>
      <c r="H2" s="11" t="s">
        <v>135</v>
      </c>
      <c r="I2" s="11"/>
      <c r="J2" s="12"/>
      <c r="K2" s="13">
        <v>45992</v>
      </c>
      <c r="L2" s="14">
        <v>20000</v>
      </c>
      <c r="M2" s="10"/>
      <c r="N2" s="13">
        <v>46006</v>
      </c>
      <c r="O2" s="14">
        <v>20000</v>
      </c>
      <c r="P2" s="10"/>
      <c r="Q2" s="10"/>
      <c r="R2" s="10" t="str">
        <f>TEXT(K2,"yyyy-mm")</f>
        <v>2025-12</v>
      </c>
      <c r="S2" s="10" t="str">
        <f>YEAR(K2)&amp;"Q"&amp;ROUNDUP(MONTH(K2)/3,0)</f>
        <v>2025Q4</v>
      </c>
      <c r="T2" s="15" t="str">
        <f>TEXT(K2,"yyyy")</f>
        <v>2025</v>
      </c>
      <c r="U2" s="10" t="str">
        <f>TEXT(N2,"yyyy-mm")</f>
        <v>2025-12</v>
      </c>
      <c r="V2" s="10" t="str">
        <f>YEAR(N2)&amp;"Q"&amp;ROUNDUP(MONTH(N2)/3,0)</f>
        <v>2025Q4</v>
      </c>
      <c r="W2" s="10">
        <f>YEAR(N2)</f>
        <v>2025</v>
      </c>
      <c r="X2" s="10" t="str">
        <f>IF(O2=0,"未回款",IF(SUMIF(E:E,E2,O:O)=L2,"已回款","部分回款"))</f>
        <v>已回款</v>
      </c>
      <c r="Y2" s="16"/>
    </row>
  </sheetData>
  <autoFilter xmlns:etc="http://www.wps.cn/officeDocument/2017/etCustomData" ref="A1:X2" etc:filterBottomFollowUsedRange="0">
    <extLst/>
  </autoFilter>
  <conditionalFormatting sqref="E1">
    <cfRule type="expression" dxfId="3" priority="1295">
      <formula>AND(#REF!&gt;0,#REF!&gt;0)</formula>
    </cfRule>
  </conditionalFormatting>
  <conditionalFormatting sqref="I1">
    <cfRule type="expression" dxfId="3" priority="362">
      <formula>AND(#REF!&gt;0,#REF!&gt;0)</formula>
    </cfRule>
    <cfRule type="expression" dxfId="4" priority="361">
      <formula>AND(#REF!&gt;0,,#REF!&gt;0)</formula>
    </cfRule>
  </conditionalFormatting>
  <conditionalFormatting sqref="J1">
    <cfRule type="expression" dxfId="3" priority="1297">
      <formula>AND(#REF!&gt;0,#REF!&gt;0)</formula>
    </cfRule>
  </conditionalFormatting>
  <conditionalFormatting sqref="A2:B2">
    <cfRule type="expression" dxfId="3" priority="574">
      <formula>AND(#REF!&gt;0,#REF!&gt;0)</formula>
    </cfRule>
  </conditionalFormatting>
  <conditionalFormatting sqref="E2">
    <cfRule type="expression" dxfId="3" priority="747">
      <formula>AND(#REF!&gt;0,#REF!&gt;0)</formula>
    </cfRule>
  </conditionalFormatting>
  <conditionalFormatting sqref="F2">
    <cfRule type="expression" dxfId="3" priority="1459">
      <formula>AND(#REF!&gt;0,#REF!&gt;0)</formula>
    </cfRule>
  </conditionalFormatting>
  <conditionalFormatting sqref="H2">
    <cfRule type="expression" dxfId="3" priority="579">
      <formula>AND(#REF!&gt;0,#REF!&gt;0)</formula>
    </cfRule>
  </conditionalFormatting>
  <conditionalFormatting sqref="I2">
    <cfRule type="expression" dxfId="3" priority="1778">
      <formula>AND(#REF!&gt;0,#REF!&gt;0)</formula>
    </cfRule>
  </conditionalFormatting>
  <conditionalFormatting sqref="J2">
    <cfRule type="expression" dxfId="3" priority="1460">
      <formula>AND(#REF!&gt;0,#REF!&gt;0)</formula>
    </cfRule>
  </conditionalFormatting>
  <conditionalFormatting sqref="E3:E1048154">
    <cfRule type="expression" dxfId="3" priority="1250">
      <formula>AND(#REF!&gt;0,B4&gt;0)</formula>
    </cfRule>
  </conditionalFormatting>
  <conditionalFormatting sqref="E1048155:E1048576">
    <cfRule type="expression" dxfId="3" priority="1384">
      <formula>AND(#REF!&gt;0,#REF!&gt;0)</formula>
    </cfRule>
  </conditionalFormatting>
  <conditionalFormatting sqref="F3:F1048154">
    <cfRule type="expression" dxfId="3" priority="1380">
      <formula>AND(#REF!&gt;0,C4&gt;0)</formula>
    </cfRule>
  </conditionalFormatting>
  <conditionalFormatting sqref="F1048155:F1048576">
    <cfRule type="expression" dxfId="3" priority="1385">
      <formula>AND(#REF!&gt;0,#REF!&gt;0)</formula>
    </cfRule>
  </conditionalFormatting>
  <conditionalFormatting sqref="H3:H1048154">
    <cfRule type="expression" dxfId="3" priority="990">
      <formula>AND(#REF!&gt;0,D4&gt;0)</formula>
    </cfRule>
  </conditionalFormatting>
  <conditionalFormatting sqref="I3:I1048154">
    <cfRule type="expression" dxfId="3" priority="1786">
      <formula>AND(#REF!&gt;0,E4&gt;0)</formula>
    </cfRule>
  </conditionalFormatting>
  <conditionalFormatting sqref="J3:J1048154">
    <cfRule type="expression" dxfId="3" priority="1229">
      <formula>AND(#REF!&gt;0,G4&gt;0)</formula>
    </cfRule>
  </conditionalFormatting>
  <conditionalFormatting sqref="J1048155:J1048576">
    <cfRule type="expression" dxfId="3" priority="1382">
      <formula>AND(#REF!&gt;0,#REF!&gt;0)</formula>
    </cfRule>
  </conditionalFormatting>
  <conditionalFormatting sqref="A1:B1 E1:F1 H1 J1">
    <cfRule type="expression" dxfId="4" priority="1294">
      <formula>AND(#REF!&gt;0,,#REF!&gt;0)</formula>
    </cfRule>
  </conditionalFormatting>
  <conditionalFormatting sqref="A1:B1 A3:B1048576">
    <cfRule type="expression" dxfId="3" priority="991">
      <formula>AND(#REF!&gt;0,#REF!&gt;0)</formula>
    </cfRule>
  </conditionalFormatting>
  <conditionalFormatting sqref="F1 H1">
    <cfRule type="expression" dxfId="3" priority="1296">
      <formula>AND(#REF!&gt;0,#REF!&gt;0)</formula>
    </cfRule>
  </conditionalFormatting>
  <conditionalFormatting sqref="A2:B2 E2:F2 H2:J2">
    <cfRule type="expression" dxfId="4" priority="578">
      <formula>AND(#REF!&gt;0,,#REF!&gt;0)</formula>
    </cfRule>
  </conditionalFormatting>
  <conditionalFormatting sqref="A3:B1048154 E3:F1048154 H3:J1048154">
    <cfRule type="expression" dxfId="4" priority="1000">
      <formula>AND($L4&gt;0,,$O4&gt;0)</formula>
    </cfRule>
  </conditionalFormatting>
  <conditionalFormatting sqref="A1048155:B1048576 E1048155:F1048576 H1048155:J1048576">
    <cfRule type="expression" dxfId="4" priority="1381">
      <formula>AND(#REF!&gt;0,,#REF!&gt;0)</formula>
    </cfRule>
  </conditionalFormatting>
  <conditionalFormatting sqref="H1048155:I1048576">
    <cfRule type="expression" dxfId="3" priority="1386">
      <formula>AND(#REF!&gt;0,#REF!&gt;0)</formula>
    </cfRule>
  </conditionalFormatting>
  <dataValidations count="5">
    <dataValidation type="list" allowBlank="1" showInputMessage="1" showErrorMessage="1" sqref="G1 G3:G1048576">
      <formula1>"GTI,郑州展会,公司资源,柏丽分配,自拓"</formula1>
    </dataValidation>
    <dataValidation type="list" allowBlank="1" showInputMessage="1" showErrorMessage="1" sqref="H1 H3:H1048576">
      <formula1>"已签约,已签约未回款,待签约,跟进中,有初步意向,等待门店体验,黄了"</formula1>
    </dataValidation>
    <dataValidation type="list" allowBlank="1" showInputMessage="1" showErrorMessage="1" sqref="H2">
      <formula1>"已签约,已签约未回款,待签约,跟进中,有初步意向,黄了"</formula1>
    </dataValidation>
    <dataValidation type="list" allowBlank="1" showInputMessage="1" showErrorMessage="1" sqref="A$1:A$1048576">
      <formula1>"勇哥组,傲翔组,意林组,冉哥组,王安祥组,外贸组"</formula1>
    </dataValidation>
    <dataValidation allowBlank="1" showInputMessage="1" showErrorMessage="1" sqref="I$1:I$1048576"/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展示用-2026年签约数据汇总（0702统计）</vt:lpstr>
      <vt:lpstr>展示用-签约排名汇总（0702统计）</vt:lpstr>
      <vt:lpstr>展示用-2026年回款数据汇总(0702统计)</vt:lpstr>
      <vt:lpstr>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moxuan</dc:creator>
  <cp:lastModifiedBy>薛轶</cp:lastModifiedBy>
  <dcterms:created xsi:type="dcterms:W3CDTF">2023-05-12T03:15:00Z</dcterms:created>
  <dcterms:modified xsi:type="dcterms:W3CDTF">2026-07-15T09:49:43Z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false</vt:bool>
  </property>
  <property fmtid="{D5CDD505-2E9C-101B-9397-08002B2CF9AE}" pid="4" name="KSOProductBuildVer">
    <vt:lpwstr>2052-12.1.0.26884</vt:lpwstr>
  </property>
  <property fmtid="{D5CDD505-2E9C-101B-9397-08002B2CF9AE}" pid="5" name="ICV">
    <vt:lpwstr>2AF525650D394FE39F2687024D028E2E_13</vt:lpwstr>
  </property>
</Properties>
</file>