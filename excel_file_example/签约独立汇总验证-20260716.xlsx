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750" windowHeight="11250" tabRatio="959" firstSheet="0" activeTab="3" autoFilterDateGrouping="1"/>
  </bookViews>
  <sheets>
    <sheet name="展示用-2026年签约数据汇总（0702统计）" sheetId="1" state="visible" r:id="rId1"/>
    <sheet name="展示用-签约排名汇总（0702统计）" sheetId="2" state="visible" r:id="rId2"/>
    <sheet name="展示用-2026年回款数据汇总(0702统计)" sheetId="3" state="visible" r:id="rId3"/>
    <sheet name="明细" sheetId="4" state="visible" r:id="rId4"/>
  </sheets>
  <definedNames>
    <definedName name="品类_01">#REF!</definedName>
    <definedName name="品类_01" localSheetId="0">#REF!</definedName>
    <definedName name="_xlnm._FilterDatabase" localSheetId="0" hidden="1">'展示用-2026年签约数据汇总（0702统计）'!$A$3:$T$3</definedName>
    <definedName name="品类_01" localSheetId="2">#REF!</definedName>
    <definedName name="_xlnm._FilterDatabase" localSheetId="2" hidden="1">'展示用-2026年回款数据汇总(0702统计)'!$A$2:$AC$6</definedName>
    <definedName name="_xlnm._FilterDatabase" localSheetId="3" hidden="1">'明细'!$A$1:$X$2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yyyy/m/d;@"/>
    <numFmt numFmtId="165" formatCode="_ * #,##0.0_ ;_ * \-#,##0.0_ ;_ * &quot;-&quot;?_ ;_ @_ "/>
    <numFmt numFmtId="166" formatCode="yyyy&quot;-&quot;mm&quot;&quot;"/>
    <numFmt numFmtId="167" formatCode="yyyy&quot;年&quot;m&quot;月&quot;;@"/>
    <numFmt numFmtId="168" formatCode="yyyy&quot;年&quot;"/>
    <numFmt numFmtId="169" formatCode="#,##0.0_ "/>
    <numFmt numFmtId="170" formatCode="0.0_ "/>
    <numFmt numFmtId="171" formatCode="#,##0_ "/>
    <numFmt numFmtId="172" formatCode="0.0%"/>
    <numFmt numFmtId="173" formatCode="_ * #,##0.00_ ;_ * \-#,##0.00_ ;_ * &quot;-&quot;??_ ;_ @_ "/>
  </numFmts>
  <fonts count="61">
    <font>
      <name val="宋体"/>
      <charset val="134"/>
      <sz val="11"/>
    </font>
    <font>
      <name val="宋体"/>
      <charset val="134"/>
      <b val="1"/>
      <color rgb="FF000000"/>
      <sz val="12"/>
    </font>
    <font>
      <name val="宋体"/>
      <charset val="134"/>
      <color rgb="FF000000"/>
      <sz val="11"/>
    </font>
    <font>
      <name val="宋体"/>
      <charset val="134"/>
      <b val="1"/>
      <sz val="12"/>
    </font>
    <font>
      <name val="宋体"/>
      <charset val="134"/>
      <b val="1"/>
      <color rgb="FFC00000"/>
      <sz val="11"/>
    </font>
    <font>
      <name val="黑体"/>
      <charset val="134"/>
      <color rgb="FF000000"/>
      <sz val="11"/>
    </font>
    <font>
      <name val="黑体"/>
      <charset val="134"/>
      <b val="1"/>
      <color rgb="FFC91D32"/>
      <sz val="11"/>
    </font>
    <font>
      <name val="黑体"/>
      <charset val="134"/>
      <color rgb="FF000000"/>
      <sz val="10"/>
    </font>
    <font>
      <name val="黑体"/>
      <charset val="134"/>
      <b val="1"/>
      <color rgb="FF000000"/>
      <sz val="10"/>
    </font>
    <font>
      <name val="黑体"/>
      <charset val="134"/>
      <b val="1"/>
      <sz val="10"/>
    </font>
    <font>
      <name val="黑体"/>
      <charset val="134"/>
      <sz val="10"/>
    </font>
    <font>
      <name val="宋体"/>
      <charset val="134"/>
      <sz val="10"/>
    </font>
    <font>
      <name val="黑体"/>
      <charset val="134"/>
      <b val="1"/>
      <color rgb="FFC00000"/>
      <sz val="10"/>
    </font>
    <font>
      <name val="黑体"/>
      <charset val="134"/>
      <b val="1"/>
      <color rgb="FFC91D32"/>
      <sz val="10"/>
    </font>
    <font>
      <name val="江城正义体 300W"/>
      <charset val="134"/>
      <color rgb="FF000000"/>
      <sz val="11"/>
    </font>
    <font>
      <name val="阿里巴巴普惠体 2.0 55 Regular"/>
      <charset val="134"/>
      <color rgb="FF000000"/>
      <sz val="11"/>
    </font>
    <font>
      <name val="黑体"/>
      <charset val="134"/>
      <color rgb="FF000000"/>
      <sz val="20"/>
    </font>
    <font>
      <name val="黑体"/>
      <charset val="134"/>
      <b val="1"/>
      <color rgb="FF000000"/>
      <sz val="11"/>
    </font>
    <font>
      <name val="黑体"/>
      <charset val="134"/>
      <color rgb="FFC00000"/>
      <sz val="10"/>
    </font>
    <font>
      <name val="黑体"/>
      <charset val="134"/>
      <b val="1"/>
      <color rgb="FFFFC000"/>
      <sz val="10"/>
    </font>
    <font>
      <name val="黑体"/>
      <charset val="134"/>
      <color rgb="FFFFC000"/>
      <sz val="10"/>
    </font>
    <font>
      <name val="黑体"/>
      <charset val="134"/>
      <color rgb="FFD9D9D9"/>
      <sz val="10"/>
    </font>
    <font>
      <name val="微软雅黑"/>
      <charset val="134"/>
      <color rgb="FF000000"/>
      <sz val="10"/>
    </font>
    <font>
      <name val="微软雅黑"/>
      <charset val="134"/>
      <b val="1"/>
      <color rgb="FFC00000"/>
      <sz val="10"/>
    </font>
    <font>
      <name val="微软雅黑"/>
      <charset val="134"/>
      <b val="1"/>
      <sz val="14"/>
    </font>
    <font>
      <name val="微软雅黑"/>
      <charset val="134"/>
      <b val="1"/>
      <sz val="10"/>
    </font>
    <font>
      <name val="黑体"/>
      <charset val="134"/>
      <color rgb="FF000000"/>
      <sz val="26"/>
    </font>
    <font>
      <name val="微软雅黑"/>
      <charset val="134"/>
      <color rgb="FFC00000"/>
      <sz val="26"/>
    </font>
    <font>
      <name val="微软雅黑"/>
      <charset val="134"/>
      <color rgb="FF000000"/>
      <sz val="26"/>
    </font>
    <font>
      <name val="黑体"/>
      <charset val="134"/>
      <color rgb="FFC00000"/>
      <sz val="26"/>
    </font>
    <font>
      <name val="微软雅黑"/>
      <charset val="134"/>
      <sz val="26"/>
    </font>
    <font>
      <name val="微软雅黑"/>
      <charset val="134"/>
      <color rgb="FFFFC000"/>
      <sz val="26"/>
    </font>
    <font>
      <name val="微软雅黑"/>
      <charset val="134"/>
      <b val="1"/>
      <color rgb="FFFFC000"/>
      <sz val="10"/>
    </font>
    <font>
      <name val="微软雅黑"/>
      <charset val="134"/>
      <b val="1"/>
      <color rgb="FF000000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  <font>
      <name val="宋体"/>
      <b val="1"/>
      <sz val="11"/>
    </font>
    <font>
      <name val="黑体"/>
      <b val="1"/>
      <sz val="10"/>
    </font>
    <font>
      <name val="微软雅黑"/>
      <b val="1"/>
      <sz val="10"/>
    </font>
    <font>
      <name val="黑体"/>
      <b val="1"/>
      <color rgb="FF000000"/>
      <sz val="26"/>
    </font>
    <font>
      <name val="黑体"/>
      <b val="1"/>
      <color rgb="FF000000"/>
      <sz val="10"/>
    </font>
  </fonts>
  <fills count="43">
    <fill>
      <patternFill/>
    </fill>
    <fill>
      <patternFill patternType="gray125"/>
    </fill>
    <fill>
      <patternFill patternType="solid">
        <fgColor rgb="FFE3F2D9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38ABA6"/>
        <bgColor indexed="64"/>
      </patternFill>
    </fill>
    <fill>
      <patternFill patternType="solid">
        <fgColor rgb="FFE4F7F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E4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AF3F8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49">
    <xf numFmtId="0" fontId="0" fillId="0" borderId="0" applyAlignment="1">
      <alignment vertical="center"/>
    </xf>
    <xf numFmtId="43" fontId="34" fillId="0" borderId="0" applyAlignment="1">
      <alignment vertical="center"/>
    </xf>
    <xf numFmtId="44" fontId="34" fillId="0" borderId="0" applyAlignment="1">
      <alignment vertical="center"/>
    </xf>
    <xf numFmtId="9" fontId="34" fillId="0" borderId="0" applyAlignment="1">
      <alignment vertical="center"/>
    </xf>
    <xf numFmtId="41" fontId="34" fillId="0" borderId="0" applyAlignment="1">
      <alignment vertical="center"/>
    </xf>
    <xf numFmtId="42" fontId="34" fillId="0" borderId="0" applyAlignment="1">
      <alignment vertical="center"/>
    </xf>
    <xf numFmtId="0" fontId="35" fillId="0" borderId="0" applyAlignment="1">
      <alignment vertical="center"/>
    </xf>
    <xf numFmtId="0" fontId="36" fillId="0" borderId="0" applyAlignment="1">
      <alignment vertical="center"/>
    </xf>
    <xf numFmtId="0" fontId="34" fillId="10" borderId="13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14" applyAlignment="1">
      <alignment vertical="center"/>
    </xf>
    <xf numFmtId="0" fontId="41" fillId="0" borderId="14" applyAlignment="1">
      <alignment vertical="center"/>
    </xf>
    <xf numFmtId="0" fontId="42" fillId="0" borderId="15" applyAlignment="1">
      <alignment vertical="center"/>
    </xf>
    <xf numFmtId="0" fontId="42" fillId="0" borderId="0" applyAlignment="1">
      <alignment vertical="center"/>
    </xf>
    <xf numFmtId="0" fontId="43" fillId="11" borderId="16" applyAlignment="1">
      <alignment vertical="center"/>
    </xf>
    <xf numFmtId="0" fontId="44" fillId="6" borderId="17" applyAlignment="1">
      <alignment vertical="center"/>
    </xf>
    <xf numFmtId="0" fontId="45" fillId="6" borderId="16" applyAlignment="1">
      <alignment vertical="center"/>
    </xf>
    <xf numFmtId="0" fontId="46" fillId="12" borderId="18" applyAlignment="1">
      <alignment vertical="center"/>
    </xf>
    <xf numFmtId="0" fontId="47" fillId="0" borderId="19" applyAlignment="1">
      <alignment vertical="center"/>
    </xf>
    <xf numFmtId="0" fontId="48" fillId="0" borderId="20" applyAlignment="1">
      <alignment vertical="center"/>
    </xf>
    <xf numFmtId="0" fontId="49" fillId="13" borderId="0" applyAlignment="1">
      <alignment vertical="center"/>
    </xf>
    <xf numFmtId="0" fontId="50" fillId="14" borderId="0" applyAlignment="1">
      <alignment vertical="center"/>
    </xf>
    <xf numFmtId="0" fontId="51" fillId="15" borderId="0" applyAlignment="1">
      <alignment vertical="center"/>
    </xf>
    <xf numFmtId="0" fontId="52" fillId="16" borderId="0" applyAlignment="1">
      <alignment vertical="center"/>
    </xf>
    <xf numFmtId="0" fontId="53" fillId="17" borderId="0" applyAlignment="1">
      <alignment vertical="center"/>
    </xf>
    <xf numFmtId="0" fontId="53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3" fillId="21" borderId="0" applyAlignment="1">
      <alignment vertical="center"/>
    </xf>
    <xf numFmtId="0" fontId="53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3" fillId="25" borderId="0" applyAlignment="1">
      <alignment vertical="center"/>
    </xf>
    <xf numFmtId="0" fontId="53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3" fillId="29" borderId="0" applyAlignment="1">
      <alignment vertical="center"/>
    </xf>
    <xf numFmtId="0" fontId="53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3" fillId="33" borderId="0" applyAlignment="1">
      <alignment vertical="center"/>
    </xf>
    <xf numFmtId="0" fontId="53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3" fillId="37" borderId="0" applyAlignment="1">
      <alignment vertical="center"/>
    </xf>
    <xf numFmtId="0" fontId="53" fillId="38" borderId="0" applyAlignment="1">
      <alignment vertical="center"/>
    </xf>
    <xf numFmtId="0" fontId="52" fillId="39" borderId="0" applyAlignment="1">
      <alignment vertical="center"/>
    </xf>
  </cellStyleXfs>
  <cellXfs count="33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67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8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9" fontId="0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167" fontId="7" fillId="0" borderId="0" applyAlignment="1" pivotButton="0" quotePrefix="0" xfId="0">
      <alignment horizontal="center" vertical="center"/>
    </xf>
    <xf numFmtId="170" fontId="7" fillId="0" borderId="0" applyAlignment="1" pivotButton="0" quotePrefix="0" xfId="0">
      <alignment horizontal="center" vertical="center"/>
    </xf>
    <xf numFmtId="171" fontId="7" fillId="0" borderId="0" applyAlignment="1" pivotButton="0" quotePrefix="0" xfId="0">
      <alignment horizontal="center" vertical="center"/>
    </xf>
    <xf numFmtId="169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72" fontId="7" fillId="0" borderId="0" applyAlignment="1" pivotButton="0" quotePrefix="0" xfId="0">
      <alignment horizontal="center" vertical="center"/>
    </xf>
    <xf numFmtId="9" fontId="7" fillId="0" borderId="0" applyAlignment="1" pivotButton="0" quotePrefix="0" xfId="0">
      <alignment horizontal="center" vertical="center"/>
    </xf>
    <xf numFmtId="9" fontId="7" fillId="0" borderId="0" applyAlignment="1" pivotButton="0" quotePrefix="0" xfId="0">
      <alignment horizontal="center" vertical="center" wrapText="1"/>
    </xf>
    <xf numFmtId="171" fontId="7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167" fontId="8" fillId="0" borderId="0" applyAlignment="1" pivotButton="0" quotePrefix="0" xfId="0">
      <alignment horizontal="center" vertical="center"/>
    </xf>
    <xf numFmtId="170" fontId="8" fillId="0" borderId="0" applyAlignment="1" pivotButton="0" quotePrefix="0" xfId="0">
      <alignment horizontal="center" vertical="center"/>
    </xf>
    <xf numFmtId="171" fontId="8" fillId="0" borderId="0" applyAlignment="1" pivotButton="0" quotePrefix="0" xfId="0">
      <alignment horizontal="center" vertical="center"/>
    </xf>
    <xf numFmtId="169" fontId="8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72" fontId="8" fillId="0" borderId="0" applyAlignment="1" pivotButton="0" quotePrefix="0" xfId="0">
      <alignment horizontal="center" vertical="center"/>
    </xf>
    <xf numFmtId="9" fontId="8" fillId="0" borderId="0" applyAlignment="1" pivotButton="0" quotePrefix="0" xfId="0">
      <alignment horizontal="center" vertical="center"/>
    </xf>
    <xf numFmtId="9" fontId="8" fillId="0" borderId="0" applyAlignment="1" pivotButton="0" quotePrefix="0" xfId="0">
      <alignment horizontal="center" vertical="center" wrapText="1"/>
    </xf>
    <xf numFmtId="171" fontId="8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167" fontId="9" fillId="0" borderId="2" applyAlignment="1" pivotButton="0" quotePrefix="0" xfId="0">
      <alignment horizontal="center" vertical="center" wrapText="1"/>
    </xf>
    <xf numFmtId="170" fontId="9" fillId="0" borderId="1" applyAlignment="1" pivotButton="0" quotePrefix="0" xfId="0">
      <alignment horizontal="center" vertical="center" wrapText="1"/>
    </xf>
    <xf numFmtId="171" fontId="9" fillId="0" borderId="2" applyAlignment="1" pivotButton="0" quotePrefix="0" xfId="0">
      <alignment horizontal="center" vertical="center" wrapText="1"/>
    </xf>
    <xf numFmtId="171" fontId="9" fillId="0" borderId="1" applyAlignment="1" pivotButton="0" quotePrefix="0" xfId="0">
      <alignment horizontal="center" vertical="center" wrapText="1"/>
    </xf>
    <xf numFmtId="169" fontId="9" fillId="0" borderId="1" applyAlignment="1" pivotButton="0" quotePrefix="0" xfId="0">
      <alignment horizontal="center" vertical="center" wrapText="1"/>
    </xf>
    <xf numFmtId="169" fontId="9" fillId="0" borderId="2" applyAlignment="1" pivotButton="0" quotePrefix="0" xfId="0">
      <alignment horizontal="center" vertical="center" wrapText="1"/>
    </xf>
    <xf numFmtId="165" fontId="9" fillId="0" borderId="2" applyAlignment="1" pivotButton="0" quotePrefix="0" xfId="0">
      <alignment horizontal="center" vertical="center" wrapText="1"/>
    </xf>
    <xf numFmtId="172" fontId="9" fillId="0" borderId="2" applyAlignment="1" pivotButton="0" quotePrefix="0" xfId="0">
      <alignment horizontal="center" vertical="center" wrapText="1"/>
    </xf>
    <xf numFmtId="9" fontId="9" fillId="0" borderId="2" applyAlignment="1" pivotButton="0" quotePrefix="0" xfId="0">
      <alignment horizontal="center" vertical="center" wrapText="1"/>
    </xf>
    <xf numFmtId="171" fontId="8" fillId="0" borderId="3" applyAlignment="1" pivotButton="0" quotePrefix="0" xfId="0">
      <alignment horizontal="center" vertical="center"/>
    </xf>
    <xf numFmtId="171" fontId="8" fillId="0" borderId="4" applyAlignment="1" pivotButton="0" quotePrefix="0" xfId="0">
      <alignment horizontal="center" vertical="center"/>
    </xf>
    <xf numFmtId="171" fontId="8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 wrapText="1"/>
    </xf>
    <xf numFmtId="167" fontId="9" fillId="0" borderId="6" applyAlignment="1" pivotButton="0" quotePrefix="0" xfId="0">
      <alignment horizontal="center" vertical="center" wrapText="1"/>
    </xf>
    <xf numFmtId="171" fontId="9" fillId="0" borderId="6" applyAlignment="1" pivotButton="0" quotePrefix="0" xfId="0">
      <alignment horizontal="center" vertical="center" wrapText="1"/>
    </xf>
    <xf numFmtId="169" fontId="9" fillId="0" borderId="6" applyAlignment="1" pivotButton="0" quotePrefix="0" xfId="0">
      <alignment horizontal="center" vertical="center" wrapText="1"/>
    </xf>
    <xf numFmtId="165" fontId="9" fillId="0" borderId="6" applyAlignment="1" pivotButton="0" quotePrefix="0" xfId="0">
      <alignment horizontal="center" vertical="center" wrapText="1"/>
    </xf>
    <xf numFmtId="172" fontId="9" fillId="0" borderId="6" applyAlignment="1" pivotButton="0" quotePrefix="0" xfId="0">
      <alignment horizontal="center" vertical="center" wrapText="1"/>
    </xf>
    <xf numFmtId="9" fontId="9" fillId="0" borderId="6" applyAlignment="1" pivotButton="0" quotePrefix="0" xfId="0">
      <alignment horizontal="center" vertical="center" wrapText="1"/>
    </xf>
    <xf numFmtId="171" fontId="8" fillId="0" borderId="1" applyAlignment="1" pivotButton="0" quotePrefix="0" xfId="0">
      <alignment horizontal="center" vertical="center"/>
    </xf>
    <xf numFmtId="169" fontId="10" fillId="0" borderId="1" applyAlignment="1" pivotButton="0" quotePrefix="0" xfId="0">
      <alignment horizontal="center" vertical="center"/>
    </xf>
    <xf numFmtId="169" fontId="10" fillId="0" borderId="1" applyAlignment="1" pivotButton="0" quotePrefix="0" xfId="0">
      <alignment horizontal="center" vertical="center" wrapText="1"/>
    </xf>
    <xf numFmtId="167" fontId="10" fillId="0" borderId="1" applyAlignment="1" pivotButton="0" quotePrefix="0" xfId="0">
      <alignment horizontal="center" vertical="center" wrapText="1"/>
    </xf>
    <xf numFmtId="169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 wrapText="1"/>
    </xf>
    <xf numFmtId="172" fontId="7" fillId="0" borderId="1" applyAlignment="1" pivotButton="0" quotePrefix="0" xfId="0">
      <alignment horizontal="center" vertical="center"/>
    </xf>
    <xf numFmtId="169" fontId="11" fillId="0" borderId="1" applyAlignment="1" pivotButton="0" quotePrefix="0" xfId="0">
      <alignment horizontal="left" vertical="center" wrapText="1"/>
    </xf>
    <xf numFmtId="169" fontId="11" fillId="0" borderId="1" applyAlignment="1" pivotButton="0" quotePrefix="0" xfId="0">
      <alignment horizontal="center" vertical="center"/>
    </xf>
    <xf numFmtId="169" fontId="12" fillId="0" borderId="0" applyAlignment="1" pivotButton="0" quotePrefix="0" xfId="0">
      <alignment horizontal="center" vertical="center"/>
    </xf>
    <xf numFmtId="169" fontId="12" fillId="0" borderId="0" applyAlignment="1" pivotButton="0" quotePrefix="0" xfId="0">
      <alignment horizontal="center" vertical="center" wrapText="1"/>
    </xf>
    <xf numFmtId="169" fontId="12" fillId="0" borderId="0" applyAlignment="1" pivotButton="0" quotePrefix="0" xfId="0">
      <alignment horizontal="right" vertical="center" wrapText="1"/>
    </xf>
    <xf numFmtId="167" fontId="12" fillId="0" borderId="0" applyAlignment="1" pivotButton="0" quotePrefix="0" xfId="0">
      <alignment horizontal="right" vertical="center"/>
    </xf>
    <xf numFmtId="165" fontId="12" fillId="0" borderId="0" applyAlignment="1" pivotButton="0" quotePrefix="0" xfId="0">
      <alignment horizontal="center" vertical="center"/>
    </xf>
    <xf numFmtId="172" fontId="12" fillId="0" borderId="0" applyAlignment="1" pivotButton="0" quotePrefix="0" xfId="0">
      <alignment horizontal="center" vertical="center"/>
    </xf>
    <xf numFmtId="169" fontId="12" fillId="0" borderId="0" applyAlignment="1" pivotButton="0" quotePrefix="0" xfId="0">
      <alignment horizontal="left" vertical="center" wrapText="1"/>
    </xf>
    <xf numFmtId="169" fontId="7" fillId="0" borderId="0" applyAlignment="1" pivotButton="0" quotePrefix="0" xfId="0">
      <alignment horizontal="center" vertical="center" wrapText="1"/>
    </xf>
    <xf numFmtId="169" fontId="7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9" fontId="12" fillId="0" borderId="0" applyAlignment="1" pivotButton="0" quotePrefix="0" xfId="0">
      <alignment horizontal="right" vertical="center" wrapText="1"/>
    </xf>
    <xf numFmtId="167" fontId="13" fillId="0" borderId="0" applyAlignment="1" pivotButton="0" quotePrefix="0" xfId="0">
      <alignment horizontal="right" vertical="center"/>
    </xf>
    <xf numFmtId="169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4" fillId="4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top"/>
    </xf>
    <xf numFmtId="0" fontId="17" fillId="5" borderId="0" applyAlignment="1" pivotButton="0" quotePrefix="0" xfId="0">
      <alignment horizontal="center" vertical="center" wrapText="1"/>
    </xf>
    <xf numFmtId="0" fontId="17" fillId="5" borderId="7" applyAlignment="1" pivotButton="0" quotePrefix="0" xfId="0">
      <alignment horizontal="center" vertical="center" wrapText="1"/>
    </xf>
    <xf numFmtId="0" fontId="17" fillId="5" borderId="0" applyAlignment="1" pivotButton="0" quotePrefix="0" xfId="0">
      <alignment horizontal="center" vertical="center"/>
    </xf>
    <xf numFmtId="0" fontId="17" fillId="5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 wrapText="1"/>
    </xf>
    <xf numFmtId="165" fontId="5" fillId="0" borderId="7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71" fontId="5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vertical="center"/>
    </xf>
    <xf numFmtId="165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20" fillId="6" borderId="0" applyAlignment="1" pivotButton="0" quotePrefix="0" xfId="0">
      <alignment horizontal="center" vertical="center" wrapText="1"/>
    </xf>
    <xf numFmtId="0" fontId="21" fillId="6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173" fontId="23" fillId="0" borderId="0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3" fillId="0" borderId="4" applyAlignment="1" pivotButton="0" quotePrefix="0" xfId="0">
      <alignment horizontal="center" vertical="center" wrapText="1"/>
    </xf>
    <xf numFmtId="0" fontId="23" fillId="0" borderId="5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 wrapText="1"/>
    </xf>
    <xf numFmtId="0" fontId="9" fillId="7" borderId="6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171" fontId="18" fillId="0" borderId="1" applyAlignment="1" pivotButton="0" quotePrefix="0" xfId="0">
      <alignment horizontal="left" vertical="center" wrapText="1"/>
    </xf>
    <xf numFmtId="173" fontId="12" fillId="0" borderId="1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 wrapText="1"/>
    </xf>
    <xf numFmtId="173" fontId="23" fillId="0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center" vertical="center" wrapText="1"/>
    </xf>
    <xf numFmtId="173" fontId="25" fillId="0" borderId="1" applyAlignment="1" pivotButton="0" quotePrefix="0" xfId="0">
      <alignment horizontal="center" vertical="center" wrapText="1"/>
    </xf>
    <xf numFmtId="173" fontId="25" fillId="0" borderId="3" applyAlignment="1" pivotButton="0" quotePrefix="0" xfId="0">
      <alignment horizontal="center" vertical="center" wrapText="1"/>
    </xf>
    <xf numFmtId="173" fontId="25" fillId="0" borderId="4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173" fontId="23" fillId="0" borderId="4" applyAlignment="1" pivotButton="0" quotePrefix="0" xfId="0">
      <alignment horizontal="center" vertical="center" wrapText="1"/>
    </xf>
    <xf numFmtId="173" fontId="23" fillId="0" borderId="5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/>
    </xf>
    <xf numFmtId="0" fontId="18" fillId="0" borderId="9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30" fillId="0" borderId="1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left" vertical="center"/>
    </xf>
    <xf numFmtId="0" fontId="25" fillId="0" borderId="9" applyAlignment="1" pivotButton="0" quotePrefix="0" xfId="0">
      <alignment horizontal="center" vertical="center"/>
    </xf>
    <xf numFmtId="173" fontId="25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right" vertical="center" wrapText="1"/>
    </xf>
    <xf numFmtId="0" fontId="8" fillId="0" borderId="4" applyAlignment="1" pivotButton="0" quotePrefix="0" xfId="0">
      <alignment horizontal="right" vertical="center" wrapText="1"/>
    </xf>
    <xf numFmtId="0" fontId="8" fillId="0" borderId="4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/>
    </xf>
    <xf numFmtId="0" fontId="18" fillId="0" borderId="9" applyAlignment="1" pivotButton="0" quotePrefix="0" xfId="0">
      <alignment horizontal="center" vertical="center" wrapText="1"/>
    </xf>
    <xf numFmtId="0" fontId="12" fillId="8" borderId="12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 wrapText="1"/>
    </xf>
    <xf numFmtId="0" fontId="10" fillId="0" borderId="1" applyAlignment="1" pivotButton="0" quotePrefix="0" xfId="0">
      <alignment horizontal="left" vertical="center" wrapText="1"/>
    </xf>
    <xf numFmtId="0" fontId="31" fillId="0" borderId="1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19" fillId="8" borderId="12" applyAlignment="1" pivotButton="0" quotePrefix="0" xfId="0">
      <alignment horizontal="right" vertical="center"/>
    </xf>
    <xf numFmtId="0" fontId="20" fillId="0" borderId="1" applyAlignment="1" pivotButton="0" quotePrefix="0" xfId="0">
      <alignment horizontal="left" vertical="center" wrapText="1"/>
    </xf>
    <xf numFmtId="173" fontId="32" fillId="0" borderId="1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19" fillId="0" borderId="12" applyAlignment="1" pivotButton="0" quotePrefix="0" xfId="0">
      <alignment horizontal="right" vertical="center" wrapText="1"/>
    </xf>
    <xf numFmtId="0" fontId="20" fillId="0" borderId="12" applyAlignment="1" pivotButton="0" quotePrefix="0" xfId="0">
      <alignment horizontal="left" vertical="center" wrapText="1"/>
    </xf>
    <xf numFmtId="0" fontId="20" fillId="0" borderId="9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right" vertical="center" wrapText="1"/>
    </xf>
    <xf numFmtId="0" fontId="20" fillId="0" borderId="9" applyAlignment="1" pivotButton="0" quotePrefix="0" xfId="0">
      <alignment horizontal="left" vertical="center" wrapText="1"/>
    </xf>
    <xf numFmtId="0" fontId="20" fillId="0" borderId="9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  <xf numFmtId="0" fontId="19" fillId="0" borderId="9" applyAlignment="1" pivotButton="0" quotePrefix="0" xfId="0">
      <alignment horizontal="right" vertical="center" wrapText="1"/>
    </xf>
    <xf numFmtId="0" fontId="20" fillId="0" borderId="9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right" vertical="center" wrapText="1"/>
    </xf>
    <xf numFmtId="0" fontId="8" fillId="2" borderId="1" applyAlignment="1" pivotButton="0" quotePrefix="0" xfId="0">
      <alignment horizontal="center" vertical="center" wrapText="1"/>
    </xf>
    <xf numFmtId="173" fontId="25" fillId="2" borderId="1" applyAlignment="1" pivotButton="0" quotePrefix="0" xfId="0">
      <alignment horizontal="center" vertical="center" wrapText="1"/>
    </xf>
    <xf numFmtId="173" fontId="25" fillId="2" borderId="3" applyAlignment="1" pivotButton="0" quotePrefix="0" xfId="0">
      <alignment horizontal="center" vertical="center" wrapText="1"/>
    </xf>
    <xf numFmtId="173" fontId="25" fillId="2" borderId="4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173" fontId="23" fillId="0" borderId="2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173" fontId="23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171" fontId="20" fillId="6" borderId="1" applyAlignment="1" pivotButton="0" quotePrefix="0" xfId="0">
      <alignment horizontal="center" vertical="center" wrapText="1"/>
    </xf>
    <xf numFmtId="173" fontId="23" fillId="0" borderId="3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173" fontId="25" fillId="9" borderId="1" applyAlignment="1" pivotButton="0" quotePrefix="0" xfId="0">
      <alignment horizontal="center" vertical="center" wrapText="1"/>
    </xf>
    <xf numFmtId="173" fontId="25" fillId="9" borderId="3" applyAlignment="1" pivotButton="0" quotePrefix="0" xfId="0">
      <alignment horizontal="center" vertical="center" wrapText="1"/>
    </xf>
    <xf numFmtId="173" fontId="25" fillId="9" borderId="4" applyAlignment="1" pivotButton="0" quotePrefix="0" xfId="0">
      <alignment horizontal="center" vertical="center" wrapText="1"/>
    </xf>
    <xf numFmtId="173" fontId="23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5" fillId="0" borderId="25" applyAlignment="1" pivotButton="0" quotePrefix="0" xfId="0">
      <alignment horizontal="center" vertical="center" wrapText="1"/>
    </xf>
    <xf numFmtId="0" fontId="9" fillId="7" borderId="25" applyAlignment="1" pivotButton="0" quotePrefix="0" xfId="0">
      <alignment horizontal="center" vertical="center" wrapText="1"/>
    </xf>
    <xf numFmtId="0" fontId="7" fillId="7" borderId="25" applyAlignment="1" pivotButton="0" quotePrefix="0" xfId="0">
      <alignment horizontal="center" vertical="center" wrapText="1"/>
    </xf>
    <xf numFmtId="0" fontId="23" fillId="2" borderId="25" applyAlignment="1" pivotButton="0" quotePrefix="0" xfId="0">
      <alignment horizontal="center" vertical="center" wrapText="1"/>
    </xf>
    <xf numFmtId="0" fontId="0" fillId="0" borderId="25" applyAlignment="1" pivotButton="0" quotePrefix="0" xfId="0">
      <alignment vertical="center" wrapText="1"/>
    </xf>
    <xf numFmtId="0" fontId="26" fillId="0" borderId="25" applyAlignment="1" pivotButton="0" quotePrefix="0" xfId="0">
      <alignment horizontal="center" vertical="center" wrapText="1"/>
    </xf>
    <xf numFmtId="0" fontId="10" fillId="0" borderId="25" applyAlignment="1" pivotButton="0" quotePrefix="0" xfId="0">
      <alignment horizontal="center" vertical="center" wrapText="1"/>
    </xf>
    <xf numFmtId="0" fontId="18" fillId="0" borderId="25" applyAlignment="1" pivotButton="0" quotePrefix="0" xfId="0">
      <alignment horizontal="center" vertical="center" wrapText="1"/>
    </xf>
    <xf numFmtId="171" fontId="18" fillId="0" borderId="25" applyAlignment="1" pivotButton="0" quotePrefix="0" xfId="0">
      <alignment horizontal="left" vertical="center" wrapText="1"/>
    </xf>
    <xf numFmtId="3" fontId="12" fillId="0" borderId="25" applyAlignment="1" pivotButton="0" quotePrefix="0" xfId="0">
      <alignment horizontal="center" vertical="center" wrapText="1"/>
    </xf>
    <xf numFmtId="3" fontId="23" fillId="0" borderId="25" applyAlignment="1" pivotButton="0" quotePrefix="0" xfId="0">
      <alignment horizontal="center" vertical="center" wrapText="1"/>
    </xf>
    <xf numFmtId="0" fontId="8" fillId="0" borderId="25" applyAlignment="1" pivotButton="0" quotePrefix="0" xfId="0">
      <alignment horizontal="right" vertical="center" wrapText="1"/>
    </xf>
    <xf numFmtId="3" fontId="25" fillId="0" borderId="25" applyAlignment="1" pivotButton="0" quotePrefix="0" xfId="0">
      <alignment horizontal="center" vertical="center" wrapText="1"/>
    </xf>
    <xf numFmtId="3" fontId="0" fillId="0" borderId="25" applyAlignment="1" pivotButton="0" quotePrefix="0" xfId="0">
      <alignment vertical="center" wrapText="1"/>
    </xf>
    <xf numFmtId="0" fontId="7" fillId="0" borderId="25" applyAlignment="1" pivotButton="0" quotePrefix="0" xfId="0">
      <alignment horizontal="center" vertical="center" wrapText="1"/>
    </xf>
    <xf numFmtId="0" fontId="18" fillId="0" borderId="25" applyAlignment="1" pivotButton="0" quotePrefix="0" xfId="0">
      <alignment horizontal="left" vertical="center" wrapText="1"/>
    </xf>
    <xf numFmtId="0" fontId="7" fillId="0" borderId="25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center" vertical="center" wrapText="1"/>
    </xf>
    <xf numFmtId="0" fontId="12" fillId="8" borderId="25" applyAlignment="1" pivotButton="0" quotePrefix="0" xfId="0">
      <alignment horizontal="right" vertical="center" wrapText="1"/>
    </xf>
    <xf numFmtId="0" fontId="9" fillId="0" borderId="25" applyAlignment="1" pivotButton="0" quotePrefix="0" xfId="0">
      <alignment horizontal="right" vertical="center" wrapText="1"/>
    </xf>
    <xf numFmtId="0" fontId="10" fillId="0" borderId="25" applyAlignment="1" pivotButton="0" quotePrefix="0" xfId="0">
      <alignment horizontal="left" vertical="center" wrapText="1"/>
    </xf>
    <xf numFmtId="0" fontId="20" fillId="0" borderId="25" applyAlignment="1" pivotButton="0" quotePrefix="0" xfId="0">
      <alignment horizontal="center" vertical="center" wrapText="1"/>
    </xf>
    <xf numFmtId="0" fontId="19" fillId="8" borderId="25" applyAlignment="1" pivotButton="0" quotePrefix="0" xfId="0">
      <alignment horizontal="right" vertical="center" wrapText="1"/>
    </xf>
    <xf numFmtId="0" fontId="20" fillId="0" borderId="25" applyAlignment="1" pivotButton="0" quotePrefix="0" xfId="0">
      <alignment horizontal="left" vertical="center" wrapText="1"/>
    </xf>
    <xf numFmtId="3" fontId="32" fillId="0" borderId="25" applyAlignment="1" pivotButton="0" quotePrefix="0" xfId="0">
      <alignment horizontal="center" vertical="center" wrapText="1"/>
    </xf>
    <xf numFmtId="0" fontId="19" fillId="0" borderId="25" applyAlignment="1" pivotButton="0" quotePrefix="0" xfId="0">
      <alignment horizontal="right" vertical="center" wrapText="1"/>
    </xf>
    <xf numFmtId="0" fontId="0" fillId="40" borderId="25" applyAlignment="1" pivotButton="0" quotePrefix="0" xfId="0">
      <alignment vertical="center" wrapText="1"/>
    </xf>
    <xf numFmtId="0" fontId="10" fillId="40" borderId="25" applyAlignment="1" pivotButton="0" quotePrefix="0" xfId="0">
      <alignment horizontal="center" vertical="center" wrapText="1"/>
    </xf>
    <xf numFmtId="0" fontId="18" fillId="40" borderId="25" applyAlignment="1" pivotButton="0" quotePrefix="0" xfId="0">
      <alignment horizontal="center" vertical="center" wrapText="1"/>
    </xf>
    <xf numFmtId="0" fontId="12" fillId="40" borderId="25" applyAlignment="1" pivotButton="0" quotePrefix="0" xfId="0">
      <alignment horizontal="right" vertical="center" wrapText="1"/>
    </xf>
    <xf numFmtId="0" fontId="18" fillId="40" borderId="25" applyAlignment="1" pivotButton="0" quotePrefix="0" xfId="0">
      <alignment horizontal="left" vertical="center" wrapText="1"/>
    </xf>
    <xf numFmtId="3" fontId="25" fillId="40" borderId="25" applyAlignment="1" pivotButton="0" quotePrefix="0" xfId="0">
      <alignment horizontal="center" vertical="center" wrapText="1"/>
    </xf>
    <xf numFmtId="3" fontId="23" fillId="40" borderId="25" applyAlignment="1" pivotButton="0" quotePrefix="0" xfId="0">
      <alignment horizontal="center" vertical="center" wrapText="1"/>
    </xf>
    <xf numFmtId="0" fontId="56" fillId="41" borderId="25" applyAlignment="1" pivotButton="0" quotePrefix="0" xfId="0">
      <alignment horizontal="center" vertical="center" wrapText="1"/>
    </xf>
    <xf numFmtId="0" fontId="57" fillId="41" borderId="25" applyAlignment="1" pivotButton="0" quotePrefix="0" xfId="0">
      <alignment horizontal="center" vertical="center" wrapText="1"/>
    </xf>
    <xf numFmtId="3" fontId="58" fillId="41" borderId="25" applyAlignment="1" pivotButton="0" quotePrefix="0" xfId="0">
      <alignment horizontal="center" vertical="center" wrapText="1"/>
    </xf>
    <xf numFmtId="3" fontId="56" fillId="41" borderId="25" applyAlignment="1" pivotButton="0" quotePrefix="0" xfId="0">
      <alignment horizontal="center" vertical="center" wrapText="1"/>
    </xf>
    <xf numFmtId="0" fontId="56" fillId="42" borderId="25" applyAlignment="1" pivotButton="0" quotePrefix="0" xfId="0">
      <alignment horizontal="center" vertical="center" wrapText="1"/>
    </xf>
    <xf numFmtId="0" fontId="57" fillId="42" borderId="25" applyAlignment="1" pivotButton="0" quotePrefix="0" xfId="0">
      <alignment horizontal="center" vertical="center" wrapText="1"/>
    </xf>
    <xf numFmtId="3" fontId="58" fillId="42" borderId="25" applyAlignment="1" pivotButton="0" quotePrefix="0" xfId="0">
      <alignment horizontal="center" vertical="center" wrapText="1"/>
    </xf>
    <xf numFmtId="3" fontId="56" fillId="42" borderId="25" applyAlignment="1" pivotButton="0" quotePrefix="0" xfId="0">
      <alignment horizontal="center" vertical="center" wrapText="1"/>
    </xf>
    <xf numFmtId="0" fontId="22" fillId="0" borderId="25" applyAlignment="1" pivotButton="0" quotePrefix="0" xfId="0">
      <alignment horizontal="center" vertical="center" wrapText="1"/>
    </xf>
    <xf numFmtId="0" fontId="30" fillId="0" borderId="25" applyAlignment="1" pivotButton="0" quotePrefix="0" xfId="0">
      <alignment horizontal="center" vertical="center" wrapText="1"/>
    </xf>
    <xf numFmtId="0" fontId="28" fillId="0" borderId="25" applyAlignment="1" pivotButton="0" quotePrefix="0" xfId="0">
      <alignment horizontal="center" vertical="center" wrapText="1"/>
    </xf>
    <xf numFmtId="0" fontId="7" fillId="6" borderId="25" applyAlignment="1" pivotButton="0" quotePrefix="0" xfId="0">
      <alignment horizontal="center" vertical="center" wrapText="1"/>
    </xf>
    <xf numFmtId="0" fontId="18" fillId="6" borderId="25" applyAlignment="1" pivotButton="0" quotePrefix="0" xfId="0">
      <alignment horizontal="center" vertical="center" wrapText="1"/>
    </xf>
    <xf numFmtId="3" fontId="23" fillId="6" borderId="25" applyAlignment="1" pivotButton="0" quotePrefix="0" xfId="0">
      <alignment horizontal="center" vertical="center" wrapText="1"/>
    </xf>
    <xf numFmtId="0" fontId="10" fillId="6" borderId="25" applyAlignment="1" pivotButton="0" quotePrefix="0" xfId="0">
      <alignment horizontal="center" vertical="center" wrapText="1"/>
    </xf>
    <xf numFmtId="0" fontId="20" fillId="6" borderId="25" applyAlignment="1" pivotButton="0" quotePrefix="0" xfId="0">
      <alignment horizontal="center" vertical="center" wrapText="1"/>
    </xf>
    <xf numFmtId="171" fontId="20" fillId="6" borderId="25" applyAlignment="1" pivotButton="0" quotePrefix="0" xfId="0">
      <alignment horizontal="center" vertical="center" wrapText="1"/>
    </xf>
    <xf numFmtId="0" fontId="58" fillId="42" borderId="25" applyAlignment="1" pivotButton="0" quotePrefix="0" xfId="0">
      <alignment horizontal="center" vertical="center" wrapText="1"/>
    </xf>
    <xf numFmtId="0" fontId="0" fillId="0" borderId="7" pivotButton="0" quotePrefix="0" xfId="0"/>
    <xf numFmtId="165" fontId="17" fillId="0" borderId="0" applyAlignment="1" pivotButton="0" quotePrefix="0" xfId="0">
      <alignment horizontal="center" vertical="center" wrapText="1"/>
    </xf>
    <xf numFmtId="165" fontId="5" fillId="0" borderId="7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71" fontId="5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7" fontId="7" fillId="0" borderId="0" applyAlignment="1" pivotButton="0" quotePrefix="0" xfId="0">
      <alignment horizontal="center" vertical="center"/>
    </xf>
    <xf numFmtId="170" fontId="7" fillId="0" borderId="0" applyAlignment="1" pivotButton="0" quotePrefix="0" xfId="0">
      <alignment horizontal="center" vertical="center"/>
    </xf>
    <xf numFmtId="171" fontId="7" fillId="0" borderId="0" applyAlignment="1" pivotButton="0" quotePrefix="0" xfId="0">
      <alignment horizontal="center" vertical="center"/>
    </xf>
    <xf numFmtId="169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72" fontId="7" fillId="0" borderId="0" applyAlignment="1" pivotButton="0" quotePrefix="0" xfId="0">
      <alignment horizontal="center" vertical="center"/>
    </xf>
    <xf numFmtId="171" fontId="7" fillId="0" borderId="0" applyAlignment="1" pivotButton="0" quotePrefix="0" xfId="0">
      <alignment horizontal="center" vertical="center" wrapText="1"/>
    </xf>
    <xf numFmtId="171" fontId="8" fillId="0" borderId="25" applyAlignment="1" pivotButton="0" quotePrefix="0" xfId="0">
      <alignment horizontal="center" vertical="center" wrapText="1"/>
    </xf>
    <xf numFmtId="167" fontId="57" fillId="42" borderId="25" applyAlignment="1" pivotButton="0" quotePrefix="0" xfId="0">
      <alignment horizontal="center" vertical="center" wrapText="1"/>
    </xf>
    <xf numFmtId="170" fontId="57" fillId="42" borderId="25" applyAlignment="1" pivotButton="0" quotePrefix="0" xfId="0">
      <alignment horizontal="center" vertical="center" wrapText="1"/>
    </xf>
    <xf numFmtId="171" fontId="57" fillId="42" borderId="25" applyAlignment="1" pivotButton="0" quotePrefix="0" xfId="0">
      <alignment horizontal="center" vertical="center" wrapText="1"/>
    </xf>
    <xf numFmtId="169" fontId="57" fillId="42" borderId="25" applyAlignment="1" pivotButton="0" quotePrefix="0" xfId="0">
      <alignment horizontal="center" vertical="center" wrapText="1"/>
    </xf>
    <xf numFmtId="165" fontId="57" fillId="42" borderId="25" applyAlignment="1" pivotButton="0" quotePrefix="0" xfId="0">
      <alignment horizontal="center" vertical="center" wrapText="1"/>
    </xf>
    <xf numFmtId="172" fontId="57" fillId="42" borderId="25" applyAlignment="1" pivotButton="0" quotePrefix="0" xfId="0">
      <alignment horizontal="center" vertical="center" wrapText="1"/>
    </xf>
    <xf numFmtId="9" fontId="57" fillId="42" borderId="25" applyAlignment="1" pivotButton="0" quotePrefix="0" xfId="0">
      <alignment horizontal="center" vertical="center" wrapText="1"/>
    </xf>
    <xf numFmtId="0" fontId="56" fillId="42" borderId="25" applyAlignment="1" pivotButton="0" quotePrefix="0" xfId="0">
      <alignment vertical="center" wrapText="1"/>
    </xf>
    <xf numFmtId="169" fontId="0" fillId="0" borderId="0" applyAlignment="1" pivotButton="0" quotePrefix="0" xfId="0">
      <alignment horizontal="center" vertical="center"/>
    </xf>
    <xf numFmtId="169" fontId="10" fillId="0" borderId="25" applyAlignment="1" pivotButton="0" quotePrefix="0" xfId="0">
      <alignment horizontal="center" vertical="center" wrapText="1"/>
    </xf>
    <xf numFmtId="167" fontId="10" fillId="0" borderId="25" applyAlignment="1" pivotButton="0" quotePrefix="0" xfId="0">
      <alignment horizontal="center" vertical="center" wrapText="1"/>
    </xf>
    <xf numFmtId="3" fontId="10" fillId="0" borderId="25" applyAlignment="1" pivotButton="0" quotePrefix="0" xfId="0">
      <alignment horizontal="center" vertical="center" wrapText="1"/>
    </xf>
    <xf numFmtId="3" fontId="7" fillId="0" borderId="25" applyAlignment="1" pivotButton="0" quotePrefix="0" xfId="0">
      <alignment horizontal="center" vertical="center" wrapText="1"/>
    </xf>
    <xf numFmtId="10" fontId="7" fillId="0" borderId="25" applyAlignment="1" pivotButton="0" quotePrefix="0" xfId="0">
      <alignment horizontal="center" vertical="center" wrapText="1"/>
    </xf>
    <xf numFmtId="3" fontId="11" fillId="0" borderId="25" applyAlignment="1" pivotButton="0" quotePrefix="0" xfId="0">
      <alignment horizontal="left" vertical="center" wrapText="1"/>
    </xf>
    <xf numFmtId="3" fontId="11" fillId="0" borderId="25" applyAlignment="1" pivotButton="0" quotePrefix="0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169" fontId="57" fillId="0" borderId="25" applyAlignment="1" pivotButton="0" quotePrefix="0" xfId="0">
      <alignment horizontal="center" vertical="center" wrapText="1"/>
    </xf>
    <xf numFmtId="169" fontId="57" fillId="0" borderId="25" applyAlignment="1" pivotButton="0" quotePrefix="0" xfId="0">
      <alignment horizontal="right" vertical="center" wrapText="1"/>
    </xf>
    <xf numFmtId="167" fontId="57" fillId="0" borderId="25" applyAlignment="1" pivotButton="0" quotePrefix="0" xfId="0">
      <alignment horizontal="right" vertical="center" wrapText="1"/>
    </xf>
    <xf numFmtId="3" fontId="57" fillId="0" borderId="25" applyAlignment="1" pivotButton="0" quotePrefix="0" xfId="0">
      <alignment horizontal="center" vertical="center" wrapText="1"/>
    </xf>
    <xf numFmtId="10" fontId="57" fillId="0" borderId="25" applyAlignment="1" pivotButton="0" quotePrefix="0" xfId="0">
      <alignment horizontal="center" vertical="center" wrapText="1"/>
    </xf>
    <xf numFmtId="3" fontId="57" fillId="0" borderId="25" applyAlignment="1" pivotButton="0" quotePrefix="0" xfId="0">
      <alignment horizontal="left" vertical="center" wrapText="1"/>
    </xf>
    <xf numFmtId="169" fontId="5" fillId="0" borderId="0" applyAlignment="1" pivotButton="0" quotePrefix="0" xfId="0">
      <alignment horizontal="center" vertical="center"/>
    </xf>
    <xf numFmtId="169" fontId="7" fillId="0" borderId="25" applyAlignment="1" pivotButton="0" quotePrefix="0" xfId="0">
      <alignment horizontal="center" vertical="center" wrapText="1"/>
    </xf>
    <xf numFmtId="167" fontId="7" fillId="0" borderId="25" applyAlignment="1" pivotButton="0" quotePrefix="0" xfId="0">
      <alignment horizontal="center" vertical="center" wrapText="1"/>
    </xf>
    <xf numFmtId="165" fontId="7" fillId="0" borderId="25" applyAlignment="1" pivotButton="0" quotePrefix="0" xfId="0">
      <alignment horizontal="center" vertical="center" wrapText="1"/>
    </xf>
    <xf numFmtId="172" fontId="7" fillId="0" borderId="25" applyAlignment="1" pivotButton="0" quotePrefix="0" xfId="0">
      <alignment horizontal="center" vertical="center" wrapText="1"/>
    </xf>
    <xf numFmtId="169" fontId="7" fillId="0" borderId="25" applyAlignment="1" pivotButton="0" quotePrefix="0" xfId="0">
      <alignment horizontal="left" vertical="center" wrapText="1"/>
    </xf>
    <xf numFmtId="0" fontId="57" fillId="0" borderId="25" applyAlignment="1" pivotButton="0" quotePrefix="0" xfId="0">
      <alignment horizontal="center" vertical="center" wrapText="1"/>
    </xf>
    <xf numFmtId="9" fontId="57" fillId="0" borderId="25" applyAlignment="1" pivotButton="0" quotePrefix="0" xfId="0">
      <alignment horizontal="right" vertical="center" wrapText="1"/>
    </xf>
    <xf numFmtId="10" fontId="0" fillId="0" borderId="25" applyAlignment="1" pivotButton="0" quotePrefix="0" xfId="0">
      <alignment vertical="center" wrapText="1"/>
    </xf>
    <xf numFmtId="164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67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8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31" applyAlignment="1" pivotButton="0" quotePrefix="0" xfId="0">
      <alignment vertical="center" wrapText="1"/>
    </xf>
    <xf numFmtId="0" fontId="0" fillId="0" borderId="32" applyAlignment="1" pivotButton="0" quotePrefix="0" xfId="0">
      <alignment vertical="center" wrapText="1"/>
    </xf>
    <xf numFmtId="0" fontId="0" fillId="0" borderId="28" applyAlignment="1" pivotButton="0" quotePrefix="0" xfId="0">
      <alignment vertical="center" wrapText="1"/>
    </xf>
    <xf numFmtId="0" fontId="59" fillId="0" borderId="25" applyAlignment="1" pivotButton="0" quotePrefix="0" xfId="0">
      <alignment horizontal="center" vertical="center" textRotation="255" wrapText="1"/>
    </xf>
    <xf numFmtId="0" fontId="0" fillId="0" borderId="27" applyAlignment="1" pivotButton="0" quotePrefix="0" xfId="0">
      <alignment vertical="center" wrapText="1"/>
    </xf>
    <xf numFmtId="0" fontId="60" fillId="0" borderId="25" applyAlignment="1" pivotButton="0" quotePrefix="0" xfId="0">
      <alignment horizontal="right" vertical="center" wrapText="1"/>
    </xf>
    <xf numFmtId="0" fontId="0" fillId="0" borderId="31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57" fillId="41" borderId="25" applyAlignment="1" pivotButton="0" quotePrefix="0" xfId="0">
      <alignment horizontal="right" vertical="center" wrapText="1"/>
    </xf>
    <xf numFmtId="0" fontId="57" fillId="42" borderId="25" applyAlignment="1" pivotButton="0" quotePrefix="0" xfId="0">
      <alignment horizontal="right" vertical="center" wrapText="1"/>
    </xf>
    <xf numFmtId="0" fontId="58" fillId="42" borderId="25" applyAlignment="1" pivotButton="0" quotePrefix="0" xfId="0">
      <alignment horizontal="righ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8" pivotButton="0" quotePrefix="0" xfId="0"/>
    <xf numFmtId="0" fontId="0" fillId="0" borderId="2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5">
    <dxf>
      <numFmt numFmtId="0" formatCode="General"/>
      <fill>
        <patternFill patternType="solid">
          <bgColor rgb="FFFADADE"/>
        </patternFill>
      </fill>
    </dxf>
    <dxf>
      <fill>
        <patternFill patternType="solid">
          <bgColor rgb="FFFADADE"/>
        </patternFill>
      </fill>
    </dxf>
    <dxf>
      <font>
        <color rgb="FFC00000"/>
      </font>
    </dxf>
    <dxf>
      <fill>
        <patternFill patternType="solid">
          <bgColor rgb="FFFF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FFFFFF"/>
        </patternFill>
      </fill>
      <border>
        <left/>
        <right style="thin">
          <color rgb="FF4874CB"/>
        </right>
        <top style="thin">
          <color rgb="FF4874CB"/>
        </top>
        <bottom style="thin">
          <color rgb="FF4874CB"/>
        </bottom>
        <vertical/>
        <horizontal/>
      </border>
    </dxf>
    <dxf>
      <font>
        <b val="1"/>
        <color rgb="FF4874CB"/>
        <sz val="11"/>
      </font>
      <fill>
        <patternFill patternType="solid">
          <bgColor rgb="FFFFFFFF"/>
        </patternFill>
      </fill>
      <border>
        <left style="thin">
          <color rgb="FF4874CB"/>
        </left>
        <right/>
        <top style="thin">
          <color rgb="FF4874CB"/>
        </top>
        <bottom style="thin">
          <color rgb="FF4874CB"/>
        </bottom>
        <vertical/>
        <horizontal/>
      </border>
    </dxf>
    <dxf>
      <border>
        <left style="thin">
          <color rgb="FFB5C6EA"/>
        </left>
        <right style="thin">
          <color rgb="FFB5C6EA"/>
        </right>
        <top style="thin">
          <color rgb="FF4874CB"/>
        </top>
        <bottom style="thin">
          <color rgb="FF4874CB"/>
        </bottom>
        <vertical/>
        <horizontal style="thin">
          <color rgb="FFB5C6EA"/>
        </horizontal>
      </border>
    </dxf>
    <dxf>
      <fill>
        <patternFill patternType="solid">
          <bgColor rgb="FFEBF0FA"/>
        </patternFill>
      </fill>
    </dxf>
    <dxf>
      <fill>
        <patternFill patternType="solid">
          <bgColor rgb="FFEBF0FA"/>
        </patternFill>
      </fill>
    </dxf>
    <dxf>
      <font>
        <b val="1"/>
        <color rgb="FF08090C"/>
        <sz val="11"/>
      </font>
      <fill>
        <patternFill patternType="solid">
          <bgColor rgb="FFD9E1F4"/>
        </patternFill>
      </fill>
      <border>
        <left style="thin">
          <color rgb="FFB5C6EA"/>
        </left>
        <right style="thin">
          <color rgb="FF4874CB"/>
        </right>
        <top style="thin">
          <color rgb="FF4874CB"/>
        </top>
        <bottom style="thin">
          <color rgb="FF4874CB"/>
        </bottom>
        <vertical/>
        <horizontal style="thin">
          <color rgb="FFB5C6EA"/>
        </horizontal>
      </border>
    </dxf>
    <dxf>
      <font>
        <b val="1"/>
        <color rgb="FF08090C"/>
        <sz val="11"/>
      </font>
      <fill>
        <patternFill patternType="solid">
          <bgColor rgb="FFD9E1F4"/>
        </patternFill>
      </fill>
      <border>
        <left style="thin">
          <color rgb="FF4874CB"/>
        </left>
        <right style="thin">
          <color rgb="FFB5C6EA"/>
        </right>
        <top style="thin">
          <color rgb="FF4874CB"/>
        </top>
        <bottom style="thin">
          <color rgb="FF4874CB"/>
        </bottom>
        <vertical/>
        <horizontal style="thin">
          <color rgb="FFB5C6EA"/>
        </horizontal>
      </border>
    </dxf>
    <dxf>
      <font>
        <b val="1"/>
        <color rgb="FF4874CB"/>
        <sz val="11"/>
      </font>
      <fill>
        <patternFill patternType="solid">
          <bgColor rgb="FFFFFFFF"/>
        </patternFill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vertical/>
        <horizontal/>
      </border>
    </dxf>
    <dxf>
      <font>
        <b val="1"/>
        <color rgb="FFFFFFFF"/>
        <sz val="11"/>
      </font>
      <fill>
        <patternFill patternType="solid">
          <bgColor rgb="FF4874CB"/>
        </patternFill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vertical style="thin">
          <color rgb="FFB5C6EA"/>
        </vertical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vertical style="thin">
          <color rgb="FFB5C6EA"/>
        </vertical>
        <horizontal style="thin">
          <color rgb="FFB5C6EA"/>
        </horizontal>
      </border>
    </dxf>
    <dxf>
      <font>
        <color rgb="FFFFFFFF"/>
      </font>
      <fill>
        <patternFill patternType="solid">
          <fgColor rgb="FF4874CB"/>
          <bgColor rgb="FF4874CB"/>
        </patternFill>
      </fill>
      <border>
        <left/>
        <right/>
        <top/>
        <bottom/>
        <horizontal style="thin">
          <color rgb="FF1E366A"/>
        </horizontal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  <border>
        <left/>
        <right/>
        <top/>
        <bottom/>
        <horizontal style="thin">
          <color rgb="FF1E366A"/>
        </horizontal>
      </border>
    </dxf>
    <dxf>
      <font>
        <b val="1"/>
        <color rgb="FF000000"/>
      </font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</dxf>
    <dxf>
      <border>
        <left style="thin">
          <color rgb="FF91AADF"/>
        </left>
        <right style="thin">
          <color rgb="FF91AADF"/>
        </right>
        <top/>
        <bottom/>
      </border>
    </dxf>
    <dxf>
      <border>
        <left/>
        <right/>
        <top style="thin">
          <color rgb="FF91AADF"/>
        </top>
        <bottom style="thin">
          <color rgb="FF91AADF"/>
        </bottom>
        <horizontal style="thin">
          <color rgb="FF91AADF"/>
        </horizontal>
      </border>
    </dxf>
    <dxf>
      <font>
        <b val="1"/>
      </font>
      <border>
        <left/>
        <right/>
        <top style="thin">
          <color rgb="FF2D529F"/>
        </top>
        <bottom style="medium">
          <color rgb="FF2D529F"/>
        </bottom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  <border>
        <left/>
        <right/>
        <top style="thin">
          <color rgb="FF4874CB"/>
        </top>
        <bottom/>
      </border>
    </dxf>
    <dxf>
      <font>
        <color rgb="FF000000"/>
      </font>
    </dxf>
  </dxfs>
  <tableStyles count="2" defaultTableStyle="TableStyleMedium2" defaultPivotStyle="PivotStyleLight16">
    <tableStyle name="中色系标题行镶边行表格样式_676304" count="10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secondRowStripe" dxfId="9"/>
      <tableStyleElement type="firstColumnStripe" dxfId="8"/>
      <tableStyleElement type="secondColumnStripe" dxfId="7"/>
      <tableStyleElement type="firstTotalCell" dxfId="6"/>
      <tableStyleElement type="lastTotalCell" dxfId="5"/>
    </tableStyle>
    <tableStyle name="PivotStylePreset3_Accent1 1" table="0" count="10">
      <tableStyleElement type="wholeTable" dxfId="24"/>
      <tableStyleElement type="headerRow" dxfId="23"/>
      <tableStyleElement type="totalRow" dxfId="22"/>
      <tableStyleElement type="secondRowStripe" dxfId="21"/>
      <tableStyleElement type="secondColumnStripe" dxfId="20"/>
      <tableStyleElement type="first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Administrator</author>
  </authors>
  <commentList>
    <comment ref="S4" authorId="0" shapeId="0">
      <text>
        <t>Administrator:
2月5日</t>
      </text>
    </comment>
  </commentList>
</comments>
</file>

<file path=xl/comments/comment2.xml><?xml version="1.0" encoding="utf-8"?>
<comments xmlns="http://schemas.openxmlformats.org/spreadsheetml/2006/main">
  <authors>
    <author>Administrator</author>
  </authors>
  <commentList>
    <comment ref="S4" authorId="0" shapeId="0">
      <text>
        <t>Administrator:
2月5日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0</colOff>
      <row>1</row>
      <rowOff>0</rowOff>
    </from>
    <to>
      <col>1</col>
      <colOff>358358</colOff>
      <row>1</row>
      <rowOff>329455</rowOff>
    </to>
    <pic>
      <nvPicPr>
        <cNvPr id="3" name="图片 6" descr="333639373139373b343435303836363bcafdbeddcdb3bcc6">
          <a:hlinkClick xmlns:a="http://schemas.openxmlformats.org/drawingml/2006/main" xmlns:r="http://schemas.openxmlformats.org/officeDocument/2006/relationships" r:id="rId3"/>
        </cNvPr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63195" y="165100"/>
          <a:ext cx="358140" cy="32893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 cap="flat" cmpd="sng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zoomScale="90" zoomScaleNormal="90" workbookViewId="0">
      <pane ySplit="3" topLeftCell="A4" activePane="bottomLeft" state="frozen"/>
      <selection pane="bottomLeft" activeCell="A1" sqref="A1"/>
      <selection pane="topRight" activeCell="A1" sqref="A1"/>
      <selection pane="bottomLeft" activeCell="A1" sqref="A1"/>
      <selection pane="bottomRight" activeCell="B10" sqref="B10:T10"/>
    </sheetView>
  </sheetViews>
  <sheetFormatPr baseColWidth="8" defaultColWidth="9" defaultRowHeight="23" customHeight="1"/>
  <cols>
    <col width="12" customWidth="1" style="123" min="1" max="1"/>
    <col width="16" customWidth="1" style="117" min="2" max="2"/>
    <col width="12" customWidth="1" style="117" min="3" max="3"/>
    <col width="24" customWidth="1" style="117" min="4" max="4"/>
    <col width="26" customWidth="1" style="117" min="5" max="5"/>
    <col width="28" customWidth="1" style="117" min="6" max="6"/>
    <col width="20" customWidth="1" style="117" min="7" max="7"/>
    <col width="34" customWidth="1" style="117" min="8" max="8"/>
    <col width="12" customWidth="1" style="213" min="9" max="11"/>
    <col width="12" customWidth="1" style="214" min="10" max="10"/>
    <col width="12" customWidth="1" style="214" min="11" max="11"/>
    <col width="12" customWidth="1" style="213" min="12" max="12"/>
    <col width="12" customWidth="1" style="213" min="13" max="15"/>
    <col width="12" customWidth="1" style="214" min="14" max="14"/>
    <col width="12" customWidth="1" style="214" min="15" max="15"/>
    <col width="12" customWidth="1" style="213" min="16" max="16"/>
    <col width="12" customWidth="1" style="213" min="17" max="18"/>
    <col width="12" customWidth="1" style="214" min="18" max="18"/>
    <col width="12" customWidth="1" style="213" min="19" max="19"/>
    <col width="12" customWidth="1" style="213" min="20" max="20"/>
    <col width="13.7545454545455" customWidth="1" style="117" min="21" max="21"/>
    <col width="8.890909090909091" customWidth="1" style="117" min="22" max="16373"/>
    <col width="9" customWidth="1" style="117" min="16374" max="16384"/>
  </cols>
  <sheetData>
    <row r="1" customFormat="1" s="117">
      <c r="A1" s="125" t="n"/>
      <c r="B1" s="322" t="n"/>
      <c r="C1" s="322" t="n"/>
      <c r="D1" s="322" t="n"/>
      <c r="E1" s="322" t="n"/>
      <c r="F1" s="322" t="n"/>
      <c r="G1" s="322" t="n"/>
      <c r="H1" s="323" t="n"/>
      <c r="I1" s="127" t="n"/>
      <c r="J1" s="322" t="n"/>
      <c r="K1" s="322" t="n"/>
      <c r="L1" s="322" t="n"/>
      <c r="M1" s="322" t="n"/>
      <c r="N1" s="322" t="n"/>
      <c r="O1" s="322" t="n"/>
      <c r="P1" s="322" t="n"/>
      <c r="Q1" s="322" t="n"/>
      <c r="R1" s="322" t="n"/>
      <c r="S1" s="322" t="n"/>
      <c r="T1" s="323" t="n"/>
    </row>
    <row r="2" customFormat="1" s="117">
      <c r="A2" s="215" t="inlineStr">
        <is>
          <t>组别</t>
        </is>
      </c>
      <c r="B2" s="216" t="inlineStr">
        <is>
          <t>序号</t>
        </is>
      </c>
      <c r="C2" s="216" t="inlineStr">
        <is>
          <t>人员</t>
        </is>
      </c>
      <c r="D2" s="216" t="inlineStr">
        <is>
          <t>客户简称</t>
        </is>
      </c>
      <c r="E2" s="216" t="inlineStr">
        <is>
          <t>销售产品名称/项目名称</t>
        </is>
      </c>
      <c r="F2" s="216" t="inlineStr">
        <is>
          <t>落地地点</t>
        </is>
      </c>
      <c r="G2" s="216" t="inlineStr">
        <is>
          <t>客户来源
（展会需注明）</t>
        </is>
      </c>
      <c r="H2" s="217" t="inlineStr">
        <is>
          <t>备注</t>
        </is>
      </c>
      <c r="I2" s="218" t="inlineStr">
        <is>
          <t>签约后且收到第一笔款后才算已签约</t>
        </is>
      </c>
      <c r="J2" s="335" t="n"/>
      <c r="K2" s="335" t="n"/>
      <c r="L2" s="335" t="n"/>
      <c r="M2" s="335" t="n"/>
      <c r="N2" s="335" t="n"/>
      <c r="O2" s="335" t="n"/>
      <c r="P2" s="335" t="n"/>
      <c r="Q2" s="335" t="n"/>
      <c r="R2" s="335" t="n"/>
      <c r="S2" s="335" t="n"/>
      <c r="T2" s="336" t="n"/>
    </row>
    <row r="3" ht="22" customFormat="1" customHeight="1" s="117">
      <c r="A3" s="337" t="n"/>
      <c r="B3" s="337" t="n"/>
      <c r="C3" s="337" t="n"/>
      <c r="D3" s="337" t="n"/>
      <c r="E3" s="337" t="n"/>
      <c r="F3" s="337" t="n"/>
      <c r="G3" s="337" t="n"/>
      <c r="H3" s="337" t="n"/>
      <c r="I3" s="218" t="inlineStr">
        <is>
          <t>1月</t>
        </is>
      </c>
      <c r="J3" s="218" t="inlineStr">
        <is>
          <t>2月</t>
        </is>
      </c>
      <c r="K3" s="218" t="inlineStr">
        <is>
          <t>3月</t>
        </is>
      </c>
      <c r="L3" s="218" t="inlineStr">
        <is>
          <t>4月</t>
        </is>
      </c>
      <c r="M3" s="218" t="inlineStr">
        <is>
          <t>5月</t>
        </is>
      </c>
      <c r="N3" s="218" t="inlineStr">
        <is>
          <t>6月</t>
        </is>
      </c>
      <c r="O3" s="218" t="inlineStr">
        <is>
          <t>7月</t>
        </is>
      </c>
      <c r="P3" s="218" t="inlineStr">
        <is>
          <t>8月</t>
        </is>
      </c>
      <c r="Q3" s="218" t="inlineStr">
        <is>
          <t>9月</t>
        </is>
      </c>
      <c r="R3" s="218" t="inlineStr">
        <is>
          <t>10月</t>
        </is>
      </c>
      <c r="S3" s="218" t="inlineStr">
        <is>
          <t>11月</t>
        </is>
      </c>
      <c r="T3" s="218" t="inlineStr">
        <is>
          <t>12月</t>
        </is>
      </c>
    </row>
    <row r="4" ht="24" customHeight="1" s="214">
      <c r="A4" s="327" t="inlineStr">
        <is>
          <t>傲翔组</t>
        </is>
      </c>
      <c r="B4" s="221" t="n">
        <v>1</v>
      </c>
      <c r="C4" s="222" t="inlineStr">
        <is>
          <t>A</t>
        </is>
      </c>
      <c r="D4" s="222" t="inlineStr">
        <is>
          <t>B</t>
        </is>
      </c>
      <c r="E4" s="222" t="inlineStr">
        <is>
          <t>C</t>
        </is>
      </c>
      <c r="F4" s="222" t="inlineStr">
        <is>
          <t>D</t>
        </is>
      </c>
      <c r="G4" s="221" t="inlineStr">
        <is>
          <t>E</t>
        </is>
      </c>
      <c r="H4" s="223" t="inlineStr">
        <is>
          <t>F</t>
        </is>
      </c>
      <c r="I4" s="224" t="n"/>
      <c r="J4" s="224" t="n">
        <v>500000</v>
      </c>
      <c r="K4" s="224" t="n"/>
      <c r="L4" s="224" t="n"/>
      <c r="M4" s="224" t="n"/>
      <c r="N4" s="224" t="n"/>
      <c r="O4" s="224" t="n"/>
      <c r="P4" s="224" t="n"/>
      <c r="Q4" s="224" t="n"/>
      <c r="R4" s="224" t="n"/>
      <c r="S4" s="224" t="n"/>
      <c r="T4" s="224" t="n"/>
    </row>
    <row r="5" ht="24" customHeight="1" s="214">
      <c r="A5" s="338" t="n"/>
      <c r="B5" s="221" t="n">
        <v>2</v>
      </c>
      <c r="C5" s="222" t="inlineStr">
        <is>
          <t>A</t>
        </is>
      </c>
      <c r="D5" s="222" t="inlineStr">
        <is>
          <t>G</t>
        </is>
      </c>
      <c r="E5" s="222" t="inlineStr">
        <is>
          <t>H</t>
        </is>
      </c>
      <c r="F5" s="222" t="inlineStr">
        <is>
          <t>I</t>
        </is>
      </c>
      <c r="G5" s="221" t="inlineStr">
        <is>
          <t>J</t>
        </is>
      </c>
      <c r="H5" s="223" t="inlineStr">
        <is>
          <t>K</t>
        </is>
      </c>
      <c r="I5" s="224" t="n"/>
      <c r="J5" s="224" t="n"/>
      <c r="K5" s="224" t="n"/>
      <c r="L5" s="224" t="n"/>
      <c r="M5" s="224" t="n">
        <v>780000</v>
      </c>
      <c r="N5" s="224" t="n"/>
      <c r="O5" s="224" t="n"/>
      <c r="P5" s="224" t="n"/>
      <c r="Q5" s="224" t="n"/>
      <c r="R5" s="224" t="n"/>
      <c r="S5" s="224" t="n"/>
      <c r="T5" s="224" t="n"/>
    </row>
    <row r="6" ht="24" customHeight="1" s="214">
      <c r="A6" s="338" t="n"/>
      <c r="B6" s="221" t="n">
        <v>3</v>
      </c>
      <c r="C6" s="222" t="inlineStr">
        <is>
          <t>A</t>
        </is>
      </c>
      <c r="D6" s="222" t="inlineStr">
        <is>
          <t>L</t>
        </is>
      </c>
      <c r="E6" s="222" t="inlineStr">
        <is>
          <t>M</t>
        </is>
      </c>
      <c r="F6" s="222" t="inlineStr">
        <is>
          <t>N</t>
        </is>
      </c>
      <c r="G6" s="221" t="inlineStr">
        <is>
          <t>O</t>
        </is>
      </c>
      <c r="H6" s="223" t="inlineStr">
        <is>
          <t>P</t>
        </is>
      </c>
      <c r="I6" s="224" t="n"/>
      <c r="J6" s="224" t="n"/>
      <c r="K6" s="224" t="n"/>
      <c r="L6" s="224" t="n"/>
      <c r="M6" s="224" t="n"/>
      <c r="N6" s="224" t="n">
        <v>450000</v>
      </c>
      <c r="O6" s="224" t="n"/>
      <c r="P6" s="224" t="n"/>
      <c r="Q6" s="224" t="n"/>
      <c r="R6" s="224" t="n"/>
      <c r="S6" s="224" t="n"/>
      <c r="T6" s="224" t="n"/>
    </row>
    <row r="7" ht="24" customHeight="1" s="214">
      <c r="A7" s="338" t="n"/>
      <c r="B7" s="221" t="n">
        <v>4</v>
      </c>
      <c r="C7" s="222" t="inlineStr">
        <is>
          <t>A</t>
        </is>
      </c>
      <c r="D7" s="222" t="inlineStr">
        <is>
          <t>Q</t>
        </is>
      </c>
      <c r="E7" s="222" t="inlineStr">
        <is>
          <t>R</t>
        </is>
      </c>
      <c r="F7" s="222" t="inlineStr">
        <is>
          <t>S</t>
        </is>
      </c>
      <c r="G7" s="221" t="inlineStr">
        <is>
          <t>T</t>
        </is>
      </c>
      <c r="H7" s="223" t="inlineStr">
        <is>
          <t>U</t>
        </is>
      </c>
      <c r="I7" s="224" t="n"/>
      <c r="J7" s="224" t="n"/>
      <c r="K7" s="224" t="n"/>
      <c r="L7" s="224" t="n"/>
      <c r="M7" s="224" t="n"/>
      <c r="N7" s="224" t="n"/>
      <c r="O7" s="224" t="n">
        <v>68000</v>
      </c>
      <c r="P7" s="224" t="n"/>
      <c r="Q7" s="224" t="n"/>
      <c r="R7" s="224" t="n"/>
      <c r="S7" s="224" t="n"/>
      <c r="T7" s="224" t="n"/>
    </row>
    <row r="8" ht="28" customHeight="1" s="214">
      <c r="A8" s="338" t="n"/>
      <c r="B8" s="329" t="inlineStr">
        <is>
          <t>个人月度合计：</t>
        </is>
      </c>
      <c r="C8" s="335" t="n"/>
      <c r="D8" s="335" t="n"/>
      <c r="E8" s="335" t="n"/>
      <c r="F8" s="335" t="n"/>
      <c r="G8" s="335" t="n"/>
      <c r="H8" s="336" t="n"/>
      <c r="I8" s="227">
        <f>SUM(I4:I7)</f>
        <v/>
      </c>
      <c r="J8" s="227">
        <f>SUM(J4:J7)</f>
        <v/>
      </c>
      <c r="K8" s="227">
        <f>SUM(K4:K7)</f>
        <v/>
      </c>
      <c r="L8" s="227">
        <f>SUM(L4:L7)</f>
        <v/>
      </c>
      <c r="M8" s="227">
        <f>SUM(M4:M7)</f>
        <v/>
      </c>
      <c r="N8" s="227">
        <f>SUM(N4:N7)</f>
        <v/>
      </c>
      <c r="O8" s="227">
        <f>SUM(O4:O7)</f>
        <v/>
      </c>
      <c r="P8" s="227">
        <f>SUM(P4:P7)</f>
        <v/>
      </c>
      <c r="Q8" s="227">
        <f>SUM(Q4:Q7)</f>
        <v/>
      </c>
      <c r="R8" s="227">
        <f>SUM(R4:R7)</f>
        <v/>
      </c>
      <c r="S8" s="227">
        <f>SUM(S4:S7)</f>
        <v/>
      </c>
      <c r="T8" s="227">
        <f>SUM(T4:T7)</f>
        <v/>
      </c>
    </row>
    <row r="9" ht="28" customHeight="1" s="214">
      <c r="A9" s="338" t="n"/>
      <c r="B9" s="329" t="inlineStr">
        <is>
          <t>个人季度合计：</t>
        </is>
      </c>
      <c r="C9" s="335" t="n"/>
      <c r="D9" s="335" t="n"/>
      <c r="E9" s="335" t="n"/>
      <c r="F9" s="335" t="n"/>
      <c r="G9" s="335" t="n"/>
      <c r="H9" s="336" t="n"/>
      <c r="I9" s="227">
        <f>SUM(I8:K8)</f>
        <v/>
      </c>
      <c r="J9" s="335" t="n"/>
      <c r="K9" s="336" t="n"/>
      <c r="L9" s="227">
        <f>SUM(L8:N8)</f>
        <v/>
      </c>
      <c r="M9" s="335" t="n"/>
      <c r="N9" s="336" t="n"/>
      <c r="O9" s="227">
        <f>SUM(O8:Q8)</f>
        <v/>
      </c>
      <c r="P9" s="335" t="n"/>
      <c r="Q9" s="336" t="n"/>
      <c r="R9" s="227">
        <f>SUM(R8:T8)</f>
        <v/>
      </c>
      <c r="S9" s="335" t="n"/>
      <c r="T9" s="336" t="n"/>
    </row>
    <row r="10" ht="28" customHeight="1" s="214">
      <c r="A10" s="338" t="n"/>
      <c r="B10" s="329" t="inlineStr">
        <is>
          <t>个人年度合计：</t>
        </is>
      </c>
      <c r="C10" s="335" t="n"/>
      <c r="D10" s="335" t="n"/>
      <c r="E10" s="335" t="n"/>
      <c r="F10" s="335" t="n"/>
      <c r="G10" s="335" t="n"/>
      <c r="H10" s="336" t="n"/>
      <c r="I10" s="227">
        <f>SUM(I8:T8)</f>
        <v/>
      </c>
      <c r="J10" s="335" t="n"/>
      <c r="K10" s="335" t="n"/>
      <c r="L10" s="335" t="n"/>
      <c r="M10" s="335" t="n"/>
      <c r="N10" s="335" t="n"/>
      <c r="O10" s="335" t="n"/>
      <c r="P10" s="335" t="n"/>
      <c r="Q10" s="335" t="n"/>
      <c r="R10" s="335" t="n"/>
      <c r="S10" s="335" t="n"/>
      <c r="T10" s="336" t="n"/>
    </row>
    <row r="11" ht="28" customHeight="1" s="214">
      <c r="A11" s="338" t="n"/>
      <c r="B11" s="333" t="inlineStr">
        <is>
          <t>小组月度合计：</t>
        </is>
      </c>
      <c r="C11" s="335" t="n"/>
      <c r="D11" s="335" t="n"/>
      <c r="E11" s="335" t="n"/>
      <c r="F11" s="335" t="n"/>
      <c r="G11" s="335" t="n"/>
      <c r="H11" s="336" t="n"/>
      <c r="I11" s="254">
        <f>SUM(I8)</f>
        <v/>
      </c>
      <c r="J11" s="254">
        <f>SUM(J8)</f>
        <v/>
      </c>
      <c r="K11" s="254">
        <f>SUM(K8)</f>
        <v/>
      </c>
      <c r="L11" s="254">
        <f>SUM(L8)</f>
        <v/>
      </c>
      <c r="M11" s="254">
        <f>SUM(M8)</f>
        <v/>
      </c>
      <c r="N11" s="254">
        <f>SUM(N8)</f>
        <v/>
      </c>
      <c r="O11" s="254">
        <f>SUM(O8)</f>
        <v/>
      </c>
      <c r="P11" s="254">
        <f>SUM(P8)</f>
        <v/>
      </c>
      <c r="Q11" s="254">
        <f>SUM(Q8)</f>
        <v/>
      </c>
      <c r="R11" s="254">
        <f>SUM(R8)</f>
        <v/>
      </c>
      <c r="S11" s="254">
        <f>SUM(S8)</f>
        <v/>
      </c>
      <c r="T11" s="254">
        <f>SUM(T8)</f>
        <v/>
      </c>
    </row>
    <row r="12" ht="28" customHeight="1" s="214">
      <c r="A12" s="338" t="n"/>
      <c r="B12" s="333" t="inlineStr">
        <is>
          <t>小组季度合计：</t>
        </is>
      </c>
      <c r="C12" s="335" t="n"/>
      <c r="D12" s="335" t="n"/>
      <c r="E12" s="335" t="n"/>
      <c r="F12" s="335" t="n"/>
      <c r="G12" s="335" t="n"/>
      <c r="H12" s="336" t="n"/>
      <c r="I12" s="254">
        <f>SUM(I11:K11)</f>
        <v/>
      </c>
      <c r="J12" s="335" t="n"/>
      <c r="K12" s="336" t="n"/>
      <c r="L12" s="254">
        <f>SUM(L11:N11)</f>
        <v/>
      </c>
      <c r="M12" s="335" t="n"/>
      <c r="N12" s="336" t="n"/>
      <c r="O12" s="254">
        <f>SUM(O11:Q11)</f>
        <v/>
      </c>
      <c r="P12" s="335" t="n"/>
      <c r="Q12" s="336" t="n"/>
      <c r="R12" s="254">
        <f>SUM(R11:T11)</f>
        <v/>
      </c>
      <c r="S12" s="335" t="n"/>
      <c r="T12" s="336" t="n"/>
    </row>
    <row r="13" ht="28" customHeight="1" s="214">
      <c r="A13" s="337" t="n"/>
      <c r="B13" s="333" t="inlineStr">
        <is>
          <t>小组年度合计：</t>
        </is>
      </c>
      <c r="C13" s="335" t="n"/>
      <c r="D13" s="335" t="n"/>
      <c r="E13" s="335" t="n"/>
      <c r="F13" s="335" t="n"/>
      <c r="G13" s="335" t="n"/>
      <c r="H13" s="336" t="n"/>
      <c r="I13" s="254">
        <f>SUM(I11:T11)</f>
        <v/>
      </c>
      <c r="J13" s="335" t="n"/>
      <c r="K13" s="335" t="n"/>
      <c r="L13" s="335" t="n"/>
      <c r="M13" s="335" t="n"/>
      <c r="N13" s="335" t="n"/>
      <c r="O13" s="335" t="n"/>
      <c r="P13" s="335" t="n"/>
      <c r="Q13" s="335" t="n"/>
      <c r="R13" s="335" t="n"/>
      <c r="S13" s="335" t="n"/>
      <c r="T13" s="336" t="n"/>
    </row>
    <row r="14" ht="18" customHeight="1" s="214">
      <c r="A14" s="256" t="n"/>
      <c r="B14" s="335" t="n"/>
      <c r="C14" s="335" t="n"/>
      <c r="D14" s="335" t="n"/>
      <c r="E14" s="335" t="n"/>
      <c r="F14" s="335" t="n"/>
      <c r="G14" s="335" t="n"/>
      <c r="H14" s="335" t="n"/>
      <c r="I14" s="335" t="n"/>
      <c r="J14" s="335" t="n"/>
      <c r="K14" s="335" t="n"/>
      <c r="L14" s="335" t="n"/>
      <c r="M14" s="335" t="n"/>
      <c r="N14" s="335" t="n"/>
      <c r="O14" s="335" t="n"/>
      <c r="P14" s="335" t="n"/>
      <c r="Q14" s="335" t="n"/>
      <c r="R14" s="335" t="n"/>
      <c r="S14" s="335" t="n"/>
      <c r="T14" s="336" t="n"/>
    </row>
    <row r="15" ht="24" customHeight="1" s="214">
      <c r="A15" s="327" t="inlineStr">
        <is>
          <t>冉哥组</t>
        </is>
      </c>
      <c r="B15" s="221" t="n">
        <v>1</v>
      </c>
      <c r="C15" s="222" t="inlineStr">
        <is>
          <t>B</t>
        </is>
      </c>
      <c r="D15" s="222" t="inlineStr">
        <is>
          <t>B</t>
        </is>
      </c>
      <c r="E15" s="222" t="inlineStr">
        <is>
          <t>C</t>
        </is>
      </c>
      <c r="F15" s="222" t="inlineStr">
        <is>
          <t>D</t>
        </is>
      </c>
      <c r="G15" s="221" t="inlineStr">
        <is>
          <t>E</t>
        </is>
      </c>
      <c r="H15" s="223" t="inlineStr">
        <is>
          <t>F</t>
        </is>
      </c>
      <c r="I15" s="224" t="n"/>
      <c r="J15" s="224" t="n">
        <v>500000</v>
      </c>
      <c r="K15" s="224" t="n"/>
      <c r="L15" s="224" t="n"/>
      <c r="M15" s="224" t="n"/>
      <c r="N15" s="224" t="n"/>
      <c r="O15" s="224" t="n"/>
      <c r="P15" s="224" t="n"/>
      <c r="Q15" s="224" t="n"/>
      <c r="R15" s="224" t="n"/>
      <c r="S15" s="224" t="n"/>
      <c r="T15" s="224" t="n"/>
    </row>
    <row r="16" ht="24" customHeight="1" s="214">
      <c r="A16" s="338" t="n"/>
      <c r="B16" s="221" t="n">
        <v>2</v>
      </c>
      <c r="C16" s="222" t="inlineStr">
        <is>
          <t>B</t>
        </is>
      </c>
      <c r="D16" s="222" t="inlineStr">
        <is>
          <t>G</t>
        </is>
      </c>
      <c r="E16" s="222" t="inlineStr">
        <is>
          <t>H</t>
        </is>
      </c>
      <c r="F16" s="222" t="inlineStr">
        <is>
          <t>I</t>
        </is>
      </c>
      <c r="G16" s="221" t="inlineStr">
        <is>
          <t>J</t>
        </is>
      </c>
      <c r="H16" s="223" t="inlineStr">
        <is>
          <t>K</t>
        </is>
      </c>
      <c r="I16" s="224" t="n"/>
      <c r="J16" s="224" t="n"/>
      <c r="K16" s="224" t="n"/>
      <c r="L16" s="224" t="n"/>
      <c r="M16" s="224" t="n">
        <v>780000</v>
      </c>
      <c r="N16" s="224" t="n"/>
      <c r="O16" s="224" t="n"/>
      <c r="P16" s="224" t="n"/>
      <c r="Q16" s="224" t="n"/>
      <c r="R16" s="224" t="n"/>
      <c r="S16" s="224" t="n"/>
      <c r="T16" s="224" t="n"/>
    </row>
    <row r="17" ht="24" customHeight="1" s="214">
      <c r="A17" s="338" t="n"/>
      <c r="B17" s="221" t="n">
        <v>3</v>
      </c>
      <c r="C17" s="222" t="inlineStr">
        <is>
          <t>B</t>
        </is>
      </c>
      <c r="D17" s="222" t="inlineStr">
        <is>
          <t>L</t>
        </is>
      </c>
      <c r="E17" s="222" t="inlineStr">
        <is>
          <t>M</t>
        </is>
      </c>
      <c r="F17" s="222" t="inlineStr">
        <is>
          <t>N</t>
        </is>
      </c>
      <c r="G17" s="221" t="inlineStr">
        <is>
          <t>O</t>
        </is>
      </c>
      <c r="H17" s="223" t="inlineStr">
        <is>
          <t>P</t>
        </is>
      </c>
      <c r="I17" s="224" t="n"/>
      <c r="J17" s="224" t="n"/>
      <c r="K17" s="224" t="n">
        <v>600000</v>
      </c>
      <c r="L17" s="224" t="n"/>
      <c r="M17" s="224" t="n"/>
      <c r="N17" s="224" t="n">
        <v>450000</v>
      </c>
      <c r="O17" s="224" t="n"/>
      <c r="P17" s="224" t="n"/>
      <c r="Q17" s="224" t="n"/>
      <c r="R17" s="224" t="n"/>
      <c r="S17" s="224" t="n"/>
      <c r="T17" s="224" t="n"/>
    </row>
    <row r="18" ht="24" customHeight="1" s="214">
      <c r="A18" s="338" t="n"/>
      <c r="B18" s="221" t="n">
        <v>4</v>
      </c>
      <c r="C18" s="222" t="inlineStr">
        <is>
          <t>B</t>
        </is>
      </c>
      <c r="D18" s="222" t="inlineStr">
        <is>
          <t>Q</t>
        </is>
      </c>
      <c r="E18" s="222" t="inlineStr">
        <is>
          <t>R</t>
        </is>
      </c>
      <c r="F18" s="222" t="inlineStr">
        <is>
          <t>S</t>
        </is>
      </c>
      <c r="G18" s="221" t="inlineStr">
        <is>
          <t>T</t>
        </is>
      </c>
      <c r="H18" s="223" t="inlineStr">
        <is>
          <t>U</t>
        </is>
      </c>
      <c r="I18" s="224" t="n"/>
      <c r="J18" s="224" t="n"/>
      <c r="K18" s="224" t="n"/>
      <c r="L18" s="224" t="n"/>
      <c r="M18" s="224" t="n"/>
      <c r="N18" s="224" t="n"/>
      <c r="O18" s="224" t="n">
        <v>68000</v>
      </c>
      <c r="P18" s="224" t="n"/>
      <c r="Q18" s="224" t="n"/>
      <c r="R18" s="224" t="n"/>
      <c r="S18" s="224" t="n"/>
      <c r="T18" s="224" t="n"/>
    </row>
    <row r="19" ht="28" customHeight="1" s="214">
      <c r="A19" s="338" t="n"/>
      <c r="B19" s="329" t="inlineStr">
        <is>
          <t>个人月度合计：</t>
        </is>
      </c>
      <c r="C19" s="335" t="n"/>
      <c r="D19" s="335" t="n"/>
      <c r="E19" s="335" t="n"/>
      <c r="F19" s="335" t="n"/>
      <c r="G19" s="335" t="n"/>
      <c r="H19" s="336" t="n"/>
      <c r="I19" s="227">
        <f>SUM(I15:I18)</f>
        <v/>
      </c>
      <c r="J19" s="227">
        <f>SUM(J15:J18)</f>
        <v/>
      </c>
      <c r="K19" s="227">
        <f>SUM(K15:K18)</f>
        <v/>
      </c>
      <c r="L19" s="227">
        <f>SUM(L15:L18)</f>
        <v/>
      </c>
      <c r="M19" s="227">
        <f>SUM(M15:M18)</f>
        <v/>
      </c>
      <c r="N19" s="227">
        <f>SUM(N15:N18)</f>
        <v/>
      </c>
      <c r="O19" s="227">
        <f>SUM(O15:O18)</f>
        <v/>
      </c>
      <c r="P19" s="227">
        <f>SUM(P15:P18)</f>
        <v/>
      </c>
      <c r="Q19" s="227">
        <f>SUM(Q15:Q18)</f>
        <v/>
      </c>
      <c r="R19" s="227">
        <f>SUM(R15:R18)</f>
        <v/>
      </c>
      <c r="S19" s="227">
        <f>SUM(S15:S18)</f>
        <v/>
      </c>
      <c r="T19" s="227">
        <f>SUM(T15:T18)</f>
        <v/>
      </c>
    </row>
    <row r="20" ht="28" customHeight="1" s="214">
      <c r="A20" s="338" t="n"/>
      <c r="B20" s="329" t="inlineStr">
        <is>
          <t>个人季度合计：</t>
        </is>
      </c>
      <c r="C20" s="335" t="n"/>
      <c r="D20" s="335" t="n"/>
      <c r="E20" s="335" t="n"/>
      <c r="F20" s="335" t="n"/>
      <c r="G20" s="335" t="n"/>
      <c r="H20" s="336" t="n"/>
      <c r="I20" s="227">
        <f>SUM(I19:K19)</f>
        <v/>
      </c>
      <c r="J20" s="335" t="n"/>
      <c r="K20" s="336" t="n"/>
      <c r="L20" s="227">
        <f>SUM(L19:N19)</f>
        <v/>
      </c>
      <c r="M20" s="335" t="n"/>
      <c r="N20" s="336" t="n"/>
      <c r="O20" s="227">
        <f>SUM(O19:Q19)</f>
        <v/>
      </c>
      <c r="P20" s="335" t="n"/>
      <c r="Q20" s="336" t="n"/>
      <c r="R20" s="227">
        <f>SUM(R19:T19)</f>
        <v/>
      </c>
      <c r="S20" s="335" t="n"/>
      <c r="T20" s="336" t="n"/>
    </row>
    <row r="21" ht="28" customHeight="1" s="214">
      <c r="A21" s="338" t="n"/>
      <c r="B21" s="329" t="inlineStr">
        <is>
          <t>个人年度合计：</t>
        </is>
      </c>
      <c r="C21" s="335" t="n"/>
      <c r="D21" s="335" t="n"/>
      <c r="E21" s="335" t="n"/>
      <c r="F21" s="335" t="n"/>
      <c r="G21" s="335" t="n"/>
      <c r="H21" s="336" t="n"/>
      <c r="I21" s="227">
        <f>SUM(I19:T19)</f>
        <v/>
      </c>
      <c r="J21" s="335" t="n"/>
      <c r="K21" s="335" t="n"/>
      <c r="L21" s="335" t="n"/>
      <c r="M21" s="335" t="n"/>
      <c r="N21" s="335" t="n"/>
      <c r="O21" s="335" t="n"/>
      <c r="P21" s="335" t="n"/>
      <c r="Q21" s="335" t="n"/>
      <c r="R21" s="335" t="n"/>
      <c r="S21" s="335" t="n"/>
      <c r="T21" s="336" t="n"/>
    </row>
    <row r="22" ht="28" customHeight="1" s="214">
      <c r="A22" s="338" t="n"/>
      <c r="B22" s="333" t="inlineStr">
        <is>
          <t>小组月度合计：</t>
        </is>
      </c>
      <c r="C22" s="335" t="n"/>
      <c r="D22" s="335" t="n"/>
      <c r="E22" s="335" t="n"/>
      <c r="F22" s="335" t="n"/>
      <c r="G22" s="335" t="n"/>
      <c r="H22" s="336" t="n"/>
      <c r="I22" s="254">
        <f>SUM(I19)</f>
        <v/>
      </c>
      <c r="J22" s="254">
        <f>SUM(J19)</f>
        <v/>
      </c>
      <c r="K22" s="254">
        <f>SUM(K19)</f>
        <v/>
      </c>
      <c r="L22" s="254">
        <f>SUM(L19)</f>
        <v/>
      </c>
      <c r="M22" s="254">
        <f>SUM(M19)</f>
        <v/>
      </c>
      <c r="N22" s="254">
        <f>SUM(N19)</f>
        <v/>
      </c>
      <c r="O22" s="254">
        <f>SUM(O19)</f>
        <v/>
      </c>
      <c r="P22" s="254">
        <f>SUM(P19)</f>
        <v/>
      </c>
      <c r="Q22" s="254">
        <f>SUM(Q19)</f>
        <v/>
      </c>
      <c r="R22" s="254">
        <f>SUM(R19)</f>
        <v/>
      </c>
      <c r="S22" s="254">
        <f>SUM(S19)</f>
        <v/>
      </c>
      <c r="T22" s="254">
        <f>SUM(T19)</f>
        <v/>
      </c>
    </row>
    <row r="23" ht="28" customHeight="1" s="214">
      <c r="A23" s="338" t="n"/>
      <c r="B23" s="333" t="inlineStr">
        <is>
          <t>小组季度合计：</t>
        </is>
      </c>
      <c r="C23" s="335" t="n"/>
      <c r="D23" s="335" t="n"/>
      <c r="E23" s="335" t="n"/>
      <c r="F23" s="335" t="n"/>
      <c r="G23" s="335" t="n"/>
      <c r="H23" s="336" t="n"/>
      <c r="I23" s="254">
        <f>SUM(I22:K22)</f>
        <v/>
      </c>
      <c r="J23" s="335" t="n"/>
      <c r="K23" s="336" t="n"/>
      <c r="L23" s="254">
        <f>SUM(L22:N22)</f>
        <v/>
      </c>
      <c r="M23" s="335" t="n"/>
      <c r="N23" s="336" t="n"/>
      <c r="O23" s="254">
        <f>SUM(O22:Q22)</f>
        <v/>
      </c>
      <c r="P23" s="335" t="n"/>
      <c r="Q23" s="336" t="n"/>
      <c r="R23" s="254">
        <f>SUM(R22:T22)</f>
        <v/>
      </c>
      <c r="S23" s="335" t="n"/>
      <c r="T23" s="336" t="n"/>
    </row>
    <row r="24" ht="28" customHeight="1" s="214">
      <c r="A24" s="337" t="n"/>
      <c r="B24" s="333" t="inlineStr">
        <is>
          <t>小组年度合计：</t>
        </is>
      </c>
      <c r="C24" s="335" t="n"/>
      <c r="D24" s="335" t="n"/>
      <c r="E24" s="335" t="n"/>
      <c r="F24" s="335" t="n"/>
      <c r="G24" s="335" t="n"/>
      <c r="H24" s="336" t="n"/>
      <c r="I24" s="254">
        <f>SUM(I22:T22)</f>
        <v/>
      </c>
      <c r="J24" s="335" t="n"/>
      <c r="K24" s="335" t="n"/>
      <c r="L24" s="335" t="n"/>
      <c r="M24" s="335" t="n"/>
      <c r="N24" s="335" t="n"/>
      <c r="O24" s="335" t="n"/>
      <c r="P24" s="335" t="n"/>
      <c r="Q24" s="335" t="n"/>
      <c r="R24" s="335" t="n"/>
      <c r="S24" s="335" t="n"/>
      <c r="T24" s="336" t="n"/>
    </row>
    <row r="25" ht="28" customHeight="1" s="214">
      <c r="A25" s="334" t="inlineStr">
        <is>
          <t>部门月度合计：</t>
        </is>
      </c>
      <c r="B25" s="335" t="n"/>
      <c r="C25" s="335" t="n"/>
      <c r="D25" s="335" t="n"/>
      <c r="E25" s="335" t="n"/>
      <c r="F25" s="335" t="n"/>
      <c r="G25" s="335" t="n"/>
      <c r="H25" s="336" t="n"/>
      <c r="I25" s="254">
        <f>SUM(I11,I22)</f>
        <v/>
      </c>
      <c r="J25" s="254">
        <f>SUM(J11,J22)</f>
        <v/>
      </c>
      <c r="K25" s="254">
        <f>SUM(K11,K22)</f>
        <v/>
      </c>
      <c r="L25" s="254">
        <f>SUM(L11,L22)</f>
        <v/>
      </c>
      <c r="M25" s="254">
        <f>SUM(M11,M22)</f>
        <v/>
      </c>
      <c r="N25" s="254">
        <f>SUM(N11,N22)</f>
        <v/>
      </c>
      <c r="O25" s="254">
        <f>SUM(O11,O22)</f>
        <v/>
      </c>
      <c r="P25" s="254">
        <f>SUM(P11,P22)</f>
        <v/>
      </c>
      <c r="Q25" s="254">
        <f>SUM(Q11,Q22)</f>
        <v/>
      </c>
      <c r="R25" s="254">
        <f>SUM(R11,R22)</f>
        <v/>
      </c>
      <c r="S25" s="254">
        <f>SUM(S11,S22)</f>
        <v/>
      </c>
      <c r="T25" s="254">
        <f>SUM(T11,T22)</f>
        <v/>
      </c>
    </row>
    <row r="26" ht="28" customHeight="1" s="214">
      <c r="A26" s="334" t="inlineStr">
        <is>
          <t>部门季度合计：</t>
        </is>
      </c>
      <c r="B26" s="335" t="n"/>
      <c r="C26" s="335" t="n"/>
      <c r="D26" s="335" t="n"/>
      <c r="E26" s="335" t="n"/>
      <c r="F26" s="335" t="n"/>
      <c r="G26" s="335" t="n"/>
      <c r="H26" s="336" t="n"/>
      <c r="I26" s="254">
        <f>SUM(I25:K25)</f>
        <v/>
      </c>
      <c r="J26" s="335" t="n"/>
      <c r="K26" s="336" t="n"/>
      <c r="L26" s="254">
        <f>SUM(L25:N25)</f>
        <v/>
      </c>
      <c r="M26" s="335" t="n"/>
      <c r="N26" s="336" t="n"/>
      <c r="O26" s="254">
        <f>SUM(O25:Q25)</f>
        <v/>
      </c>
      <c r="P26" s="335" t="n"/>
      <c r="Q26" s="336" t="n"/>
      <c r="R26" s="254">
        <f>SUM(R25:T25)</f>
        <v/>
      </c>
      <c r="S26" s="335" t="n"/>
      <c r="T26" s="336" t="n"/>
    </row>
    <row r="27" ht="28" customHeight="1" s="214">
      <c r="A27" s="334" t="inlineStr">
        <is>
          <t>部门年度合计：</t>
        </is>
      </c>
      <c r="B27" s="335" t="n"/>
      <c r="C27" s="335" t="n"/>
      <c r="D27" s="335" t="n"/>
      <c r="E27" s="335" t="n"/>
      <c r="F27" s="335" t="n"/>
      <c r="G27" s="335" t="n"/>
      <c r="H27" s="336" t="n"/>
      <c r="I27" s="254">
        <f>SUM(I25:T25)</f>
        <v/>
      </c>
      <c r="J27" s="335" t="n"/>
      <c r="K27" s="335" t="n"/>
      <c r="L27" s="335" t="n"/>
      <c r="M27" s="335" t="n"/>
      <c r="N27" s="335" t="n"/>
      <c r="O27" s="335" t="n"/>
      <c r="P27" s="335" t="n"/>
      <c r="Q27" s="335" t="n"/>
      <c r="R27" s="335" t="n"/>
      <c r="S27" s="335" t="n"/>
      <c r="T27" s="336" t="n"/>
    </row>
  </sheetData>
  <autoFilter ref="A3:T3"/>
  <mergeCells count="53">
    <mergeCell ref="B24:H24"/>
    <mergeCell ref="R20:T20"/>
    <mergeCell ref="I24:T24"/>
    <mergeCell ref="A25:H25"/>
    <mergeCell ref="L9:N9"/>
    <mergeCell ref="A2:A3"/>
    <mergeCell ref="C2:C3"/>
    <mergeCell ref="E2:E3"/>
    <mergeCell ref="I10:T10"/>
    <mergeCell ref="R23:T23"/>
    <mergeCell ref="B11:H11"/>
    <mergeCell ref="I2:T2"/>
    <mergeCell ref="O9:Q9"/>
    <mergeCell ref="R26:T26"/>
    <mergeCell ref="I12:K12"/>
    <mergeCell ref="F2:F3"/>
    <mergeCell ref="L26:N26"/>
    <mergeCell ref="H2:H3"/>
    <mergeCell ref="I21:T21"/>
    <mergeCell ref="I23:K23"/>
    <mergeCell ref="O12:Q12"/>
    <mergeCell ref="I1:T1"/>
    <mergeCell ref="A27:H27"/>
    <mergeCell ref="O23:Q23"/>
    <mergeCell ref="R9:T9"/>
    <mergeCell ref="B8:H8"/>
    <mergeCell ref="I27:T27"/>
    <mergeCell ref="A4:A13"/>
    <mergeCell ref="B10:H10"/>
    <mergeCell ref="L12:N12"/>
    <mergeCell ref="B19:H19"/>
    <mergeCell ref="B9:H9"/>
    <mergeCell ref="L23:N23"/>
    <mergeCell ref="R12:T12"/>
    <mergeCell ref="B2:B3"/>
    <mergeCell ref="D2:D3"/>
    <mergeCell ref="B20:H20"/>
    <mergeCell ref="A15:A24"/>
    <mergeCell ref="I20:K20"/>
    <mergeCell ref="A26:H26"/>
    <mergeCell ref="B21:H21"/>
    <mergeCell ref="I13:T13"/>
    <mergeCell ref="B23:H23"/>
    <mergeCell ref="B13:H13"/>
    <mergeCell ref="I26:K26"/>
    <mergeCell ref="G2:G3"/>
    <mergeCell ref="O26:Q26"/>
    <mergeCell ref="A1:H1"/>
    <mergeCell ref="L20:N20"/>
    <mergeCell ref="B22:H22"/>
    <mergeCell ref="I9:K9"/>
    <mergeCell ref="B12:H12"/>
    <mergeCell ref="O20:Q20"/>
  </mergeCells>
  <dataValidations count="1">
    <dataValidation sqref="A1:H1" showDropDown="0" showInputMessage="1" showErrorMessage="1" allowBlank="1" type="list">
      <formula1>"初步接洽,需求沟通,方案报价,商务谈判,待签约,已签约未回款,已签约并回款,已丢单"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2"/>
  <sheetViews>
    <sheetView showGridLines="0" zoomScale="85" zoomScaleNormal="85" workbookViewId="0">
      <selection activeCell="I26" sqref="I26"/>
    </sheetView>
  </sheetViews>
  <sheetFormatPr baseColWidth="8" defaultColWidth="9" defaultRowHeight="14"/>
  <cols>
    <col width="2.33636363636364" customWidth="1" style="91" min="1" max="1"/>
    <col width="9" customWidth="1" style="93" min="2" max="2"/>
    <col width="13" customWidth="1" style="93" min="3" max="3"/>
    <col width="17.3181818181818" customWidth="1" style="93" min="4" max="4"/>
    <col width="15.3818181818182" customWidth="1" style="93" min="5" max="6"/>
    <col width="16.4454545454545" customWidth="1" style="93" min="7" max="7"/>
    <col width="14.2909090909091" customWidth="1" style="93" min="8" max="8"/>
    <col width="15.2181818181818" customWidth="1" style="93" min="9" max="11"/>
    <col width="14.1" customWidth="1" style="93" min="12" max="12"/>
    <col width="14.8272727272727" customWidth="1" style="93" min="13" max="13"/>
    <col width="16.7727272727273" customWidth="1" style="93" min="14" max="15"/>
    <col width="16.4454545454545" customWidth="1" style="93" min="16" max="16"/>
    <col width="2.33636363636364" customWidth="1" style="91" min="17" max="17"/>
    <col width="9" customWidth="1" style="93" min="18" max="16384"/>
  </cols>
  <sheetData>
    <row r="1" ht="13" customFormat="1" customHeight="1" s="91">
      <c r="A1" s="95" t="n"/>
      <c r="B1" s="95" t="n"/>
      <c r="C1" s="96" t="n"/>
      <c r="D1" s="96" t="n"/>
      <c r="E1" s="95" t="n"/>
      <c r="F1" s="95" t="n"/>
      <c r="G1" s="95" t="n"/>
      <c r="H1" s="95" t="n"/>
      <c r="I1" s="95" t="n"/>
      <c r="J1" s="95" t="n"/>
      <c r="K1" s="95" t="n"/>
      <c r="L1" s="95" t="n"/>
      <c r="M1" s="95" t="n"/>
      <c r="N1" s="95" t="n"/>
      <c r="O1" s="95" t="n"/>
      <c r="P1" s="95" t="n"/>
      <c r="Q1" s="95" t="n"/>
    </row>
    <row r="2" ht="29" customHeight="1" s="214">
      <c r="A2" s="95" t="n"/>
      <c r="B2" s="97" t="n"/>
      <c r="C2" s="98" t="inlineStr">
        <is>
          <t>已签约统计数据表</t>
        </is>
      </c>
      <c r="Q2" s="95" t="n"/>
    </row>
    <row r="3" ht="22" customFormat="1" customHeight="1" s="92">
      <c r="A3" s="95" t="n"/>
      <c r="B3" s="100" t="inlineStr">
        <is>
          <t>签约后且收到第一笔款后才算已签约</t>
        </is>
      </c>
      <c r="P3" s="266" t="n"/>
      <c r="Q3" s="95" t="n"/>
      <c r="S3" s="93" t="n"/>
    </row>
    <row r="4" ht="22" customFormat="1" customHeight="1" s="92">
      <c r="A4" s="95" t="n"/>
      <c r="B4" s="101" t="inlineStr">
        <is>
          <t>组别</t>
        </is>
      </c>
      <c r="C4" s="101" t="inlineStr">
        <is>
          <t>人员</t>
        </is>
      </c>
      <c r="D4" s="102" t="inlineStr">
        <is>
          <t>1月</t>
        </is>
      </c>
      <c r="E4" s="102" t="inlineStr">
        <is>
          <t>2月</t>
        </is>
      </c>
      <c r="F4" s="102" t="inlineStr">
        <is>
          <t>3月</t>
        </is>
      </c>
      <c r="G4" s="102" t="inlineStr">
        <is>
          <t>4月</t>
        </is>
      </c>
      <c r="H4" s="102" t="inlineStr">
        <is>
          <t>5月</t>
        </is>
      </c>
      <c r="I4" s="102" t="inlineStr">
        <is>
          <t>6月</t>
        </is>
      </c>
      <c r="J4" s="102" t="inlineStr">
        <is>
          <t>7月</t>
        </is>
      </c>
      <c r="K4" s="102" t="inlineStr">
        <is>
          <t>8月</t>
        </is>
      </c>
      <c r="L4" s="102" t="inlineStr">
        <is>
          <t>9月</t>
        </is>
      </c>
      <c r="M4" s="102" t="inlineStr">
        <is>
          <t>10月</t>
        </is>
      </c>
      <c r="N4" s="102" t="inlineStr">
        <is>
          <t>11月</t>
        </is>
      </c>
      <c r="O4" s="102" t="inlineStr">
        <is>
          <t>12月</t>
        </is>
      </c>
      <c r="P4" s="100" t="inlineStr">
        <is>
          <t>总计</t>
        </is>
      </c>
      <c r="Q4" s="95" t="n"/>
      <c r="S4" s="93" t="n"/>
    </row>
    <row r="5" ht="22" customFormat="1" customHeight="1" s="92">
      <c r="A5" s="95" t="n"/>
      <c r="B5" s="92" t="inlineStr">
        <is>
          <t>勇哥组</t>
        </is>
      </c>
      <c r="C5" s="103" t="inlineStr">
        <is>
          <t>庄志勇</t>
        </is>
      </c>
      <c r="D5" s="267">
        <f>SUMIF('展示用-2026年签约数据汇总（0702统计）'!C:C,C5,'展示用-2026年签约数据汇总（0702统计）'!I:I)</f>
        <v/>
      </c>
      <c r="E5" s="267">
        <f>SUMIF('展示用-2026年签约数据汇总（0702统计）'!C:C,C5,'展示用-2026年签约数据汇总（0702统计）'!J:J)</f>
        <v/>
      </c>
      <c r="F5" s="267">
        <f>SUMIF('展示用-2026年签约数据汇总（0702统计）'!C:C,C5,'展示用-2026年签约数据汇总（0702统计）'!K:K)</f>
        <v/>
      </c>
      <c r="G5" s="267">
        <f>SUMIF('展示用-2026年签约数据汇总（0702统计）'!C:C,C5,'展示用-2026年签约数据汇总（0702统计）'!L:L)</f>
        <v/>
      </c>
      <c r="H5" s="267">
        <f>SUMIF('展示用-2026年签约数据汇总（0702统计）'!C:C,C5,'展示用-2026年签约数据汇总（0702统计）'!M:M)</f>
        <v/>
      </c>
      <c r="I5" s="267">
        <f>SUMIF('展示用-2026年签约数据汇总（0702统计）'!C:C,C5,'展示用-2026年签约数据汇总（0702统计）'!N:N)</f>
        <v/>
      </c>
      <c r="J5" s="267" t="n"/>
      <c r="K5" s="267" t="n"/>
      <c r="L5" s="267" t="n"/>
      <c r="M5" s="267" t="n"/>
      <c r="N5" s="267" t="n"/>
      <c r="O5" s="267" t="n"/>
      <c r="P5" s="268">
        <f>SUM(D5:O5)</f>
        <v/>
      </c>
      <c r="Q5" s="95" t="n"/>
      <c r="S5" s="93" t="n"/>
    </row>
    <row r="6" ht="22" customFormat="1" customHeight="1" s="92">
      <c r="A6" s="95" t="n"/>
      <c r="C6" s="103" t="inlineStr">
        <is>
          <t>曾锦鹏</t>
        </is>
      </c>
      <c r="D6" s="267" t="inlineStr">
        <is>
          <t>/</t>
        </is>
      </c>
      <c r="E6" s="267" t="inlineStr">
        <is>
          <t>/</t>
        </is>
      </c>
      <c r="F6" s="267" t="inlineStr">
        <is>
          <t>/</t>
        </is>
      </c>
      <c r="G6" s="267" t="inlineStr">
        <is>
          <t>/</t>
        </is>
      </c>
      <c r="H6" s="267" t="inlineStr">
        <is>
          <t>/</t>
        </is>
      </c>
      <c r="I6" s="267">
        <f>SUMIF('展示用-2026年签约数据汇总（0702统计）'!C:C,C6,'展示用-2026年签约数据汇总（0702统计）'!N:N)</f>
        <v/>
      </c>
      <c r="J6" s="267" t="n"/>
      <c r="K6" s="267" t="n"/>
      <c r="L6" s="267" t="n"/>
      <c r="M6" s="267" t="n"/>
      <c r="N6" s="267" t="n"/>
      <c r="O6" s="267" t="n"/>
      <c r="P6" s="268">
        <f>SUM(D6:O6)</f>
        <v/>
      </c>
      <c r="Q6" s="95" t="n"/>
      <c r="S6" s="93" t="n"/>
    </row>
    <row r="7" ht="22" customFormat="1" customHeight="1" s="92">
      <c r="A7" s="95" t="n"/>
      <c r="C7" s="103" t="inlineStr">
        <is>
          <t>李敏健</t>
        </is>
      </c>
      <c r="D7" s="267" t="inlineStr">
        <is>
          <t>/</t>
        </is>
      </c>
      <c r="E7" s="267" t="inlineStr">
        <is>
          <t>/</t>
        </is>
      </c>
      <c r="F7" s="267" t="inlineStr">
        <is>
          <t>/</t>
        </is>
      </c>
      <c r="G7" s="267" t="inlineStr">
        <is>
          <t>/</t>
        </is>
      </c>
      <c r="H7" s="267" t="inlineStr">
        <is>
          <t>/</t>
        </is>
      </c>
      <c r="I7" s="267">
        <f>SUMIF('展示用-2026年签约数据汇总（0702统计）'!C:C,C7,'展示用-2026年签约数据汇总（0702统计）'!N:N)</f>
        <v/>
      </c>
      <c r="J7" s="267" t="n"/>
      <c r="K7" s="267" t="n"/>
      <c r="L7" s="267" t="n"/>
      <c r="M7" s="267" t="n"/>
      <c r="N7" s="267" t="n"/>
      <c r="O7" s="267" t="n"/>
      <c r="P7" s="268">
        <f>SUM(D7:O7)</f>
        <v/>
      </c>
      <c r="Q7" s="95" t="n"/>
      <c r="S7" s="93" t="n"/>
    </row>
    <row r="8" hidden="1" ht="23" customFormat="1" customHeight="1" s="92">
      <c r="A8" s="95" t="n"/>
      <c r="C8" s="103" t="inlineStr">
        <is>
          <t>毕亚吉</t>
        </is>
      </c>
      <c r="D8" s="267">
        <f>SUMIF('展示用-2026年签约数据汇总（0702统计）'!C:C,C8,'展示用-2026年签约数据汇总（0702统计）'!I:I)</f>
        <v/>
      </c>
      <c r="E8" s="267">
        <f>SUMIF('展示用-2026年签约数据汇总（0702统计）'!C:C,C8,'展示用-2026年签约数据汇总（0702统计）'!J:J)</f>
        <v/>
      </c>
      <c r="F8" s="267">
        <f>SUMIF('展示用-2026年签约数据汇总（0702统计）'!C:C,C8,'展示用-2026年签约数据汇总（0702统计）'!K:K)</f>
        <v/>
      </c>
      <c r="G8" s="267">
        <f>SUMIF('展示用-2026年签约数据汇总（0702统计）'!C:C,C8,'展示用-2026年签约数据汇总（0702统计）'!L:L)</f>
        <v/>
      </c>
      <c r="H8" s="267">
        <f>SUMIF('展示用-2026年签约数据汇总（0702统计）'!C:C,C8,'展示用-2026年签约数据汇总（0702统计）'!M:M)</f>
        <v/>
      </c>
      <c r="I8" s="267">
        <f>SUMIF('展示用-2026年签约数据汇总（0702统计）'!C:C,C8,'展示用-2026年签约数据汇总（0702统计）'!N:N)</f>
        <v/>
      </c>
      <c r="J8" s="269" t="n"/>
      <c r="K8" s="269" t="n"/>
      <c r="L8" s="269" t="n"/>
      <c r="M8" s="269" t="n"/>
      <c r="N8" s="269" t="n"/>
      <c r="O8" s="269" t="n"/>
      <c r="P8" s="268">
        <f>SUM(D8:O8)</f>
        <v/>
      </c>
      <c r="Q8" s="95" t="n"/>
      <c r="S8" s="93" t="n"/>
    </row>
    <row r="9" hidden="1" ht="23" customFormat="1" customHeight="1" s="92">
      <c r="A9" s="95" t="n"/>
      <c r="C9" s="103" t="inlineStr">
        <is>
          <t>吴祖陈</t>
        </is>
      </c>
      <c r="D9" s="267">
        <f>SUMIF('展示用-2026年签约数据汇总（0702统计）'!C:C,C9,'展示用-2026年签约数据汇总（0702统计）'!I:I)</f>
        <v/>
      </c>
      <c r="E9" s="267">
        <f>SUMIF('展示用-2026年签约数据汇总（0702统计）'!C:C,C9,'展示用-2026年签约数据汇总（0702统计）'!J:J)</f>
        <v/>
      </c>
      <c r="F9" s="267">
        <f>SUMIF('展示用-2026年签约数据汇总（0702统计）'!C:C,C9,'展示用-2026年签约数据汇总（0702统计）'!K:K)</f>
        <v/>
      </c>
      <c r="G9" s="267">
        <f>SUMIF('展示用-2026年签约数据汇总（0702统计）'!C:C,C9,'展示用-2026年签约数据汇总（0702统计）'!L:L)</f>
        <v/>
      </c>
      <c r="H9" s="267">
        <f>SUMIF('展示用-2026年签约数据汇总（0702统计）'!C:C,C9,'展示用-2026年签约数据汇总（0702统计）'!M:M)</f>
        <v/>
      </c>
      <c r="I9" s="267">
        <f>SUMIF('展示用-2026年签约数据汇总（0702统计）'!C:C,C9,'展示用-2026年签约数据汇总（0702统计）'!N:N)</f>
        <v/>
      </c>
      <c r="J9" s="269" t="n"/>
      <c r="K9" s="269" t="n"/>
      <c r="L9" s="269" t="n"/>
      <c r="M9" s="269" t="n"/>
      <c r="N9" s="269" t="n"/>
      <c r="O9" s="269" t="n"/>
      <c r="P9" s="268">
        <f>SUM(D9:O9)</f>
        <v/>
      </c>
      <c r="Q9" s="95" t="n"/>
      <c r="S9" s="93" t="n"/>
    </row>
    <row r="10" hidden="1" ht="23" customFormat="1" customHeight="1" s="92">
      <c r="A10" s="95" t="n"/>
      <c r="C10" s="103" t="inlineStr">
        <is>
          <t>黄梓毅</t>
        </is>
      </c>
      <c r="D10" s="267" t="inlineStr">
        <is>
          <t>/</t>
        </is>
      </c>
      <c r="E10" s="267" t="inlineStr">
        <is>
          <t>/</t>
        </is>
      </c>
      <c r="F10" s="267" t="inlineStr">
        <is>
          <t>/</t>
        </is>
      </c>
      <c r="G10" s="267">
        <f>SUMIF('展示用-2026年签约数据汇总（0702统计）'!C:C,C10,'展示用-2026年签约数据汇总（0702统计）'!L:L)</f>
        <v/>
      </c>
      <c r="H10" s="267">
        <f>SUMIF('展示用-2026年签约数据汇总（0702统计）'!C:C,C10,'展示用-2026年签约数据汇总（0702统计）'!M:M)</f>
        <v/>
      </c>
      <c r="I10" s="267">
        <f>SUMIF('展示用-2026年签约数据汇总（0702统计）'!C:C,C10,'展示用-2026年签约数据汇总（0702统计）'!N:N)</f>
        <v/>
      </c>
      <c r="J10" s="269" t="n"/>
      <c r="K10" s="269" t="n"/>
      <c r="L10" s="269" t="n"/>
      <c r="M10" s="269" t="n"/>
      <c r="N10" s="269" t="n"/>
      <c r="O10" s="269" t="n"/>
      <c r="P10" s="268">
        <f>SUM(D10:O10)</f>
        <v/>
      </c>
      <c r="Q10" s="95" t="n"/>
      <c r="S10" s="93" t="n"/>
    </row>
    <row r="11" hidden="1" ht="23" customFormat="1" customHeight="1" s="92">
      <c r="A11" s="95" t="n"/>
      <c r="C11" s="103" t="inlineStr">
        <is>
          <t>林国斌</t>
        </is>
      </c>
      <c r="D11" s="267" t="inlineStr">
        <is>
          <t>/</t>
        </is>
      </c>
      <c r="E11" s="267" t="inlineStr">
        <is>
          <t>/</t>
        </is>
      </c>
      <c r="F11" s="267" t="inlineStr">
        <is>
          <t>/</t>
        </is>
      </c>
      <c r="G11" s="267">
        <f>SUMIF('展示用-2026年签约数据汇总（0702统计）'!C:C,C11,'展示用-2026年签约数据汇总（0702统计）'!L:L)</f>
        <v/>
      </c>
      <c r="H11" s="267">
        <f>SUMIF('展示用-2026年签约数据汇总（0702统计）'!C:C,C11,'展示用-2026年签约数据汇总（0702统计）'!M:M)</f>
        <v/>
      </c>
      <c r="I11" s="267">
        <f>SUMIF('展示用-2026年签约数据汇总（0702统计）'!C:C,C11,'展示用-2026年签约数据汇总（0702统计）'!N:N)</f>
        <v/>
      </c>
      <c r="J11" s="269" t="n"/>
      <c r="K11" s="269" t="n"/>
      <c r="L11" s="269" t="n"/>
      <c r="M11" s="269" t="n"/>
      <c r="N11" s="269" t="n"/>
      <c r="O11" s="269" t="n"/>
      <c r="P11" s="268">
        <f>SUM(D11:O11)</f>
        <v/>
      </c>
      <c r="Q11" s="95" t="n"/>
      <c r="S11" s="93" t="n"/>
    </row>
    <row r="12" hidden="1" ht="23" customFormat="1" customHeight="1" s="92">
      <c r="A12" s="95" t="n"/>
      <c r="C12" s="103" t="inlineStr">
        <is>
          <t>陈晓勇</t>
        </is>
      </c>
      <c r="D12" s="267" t="inlineStr">
        <is>
          <t>/</t>
        </is>
      </c>
      <c r="E12" s="267" t="inlineStr">
        <is>
          <t>/</t>
        </is>
      </c>
      <c r="F12" s="267" t="inlineStr">
        <is>
          <t>/</t>
        </is>
      </c>
      <c r="G12" s="267">
        <f>SUMIF('展示用-2026年签约数据汇总（0702统计）'!C:C,C12,'展示用-2026年签约数据汇总（0702统计）'!L:L)</f>
        <v/>
      </c>
      <c r="H12" s="267">
        <f>SUMIF('展示用-2026年签约数据汇总（0702统计）'!C:C,C12,'展示用-2026年签约数据汇总（0702统计）'!M:M)</f>
        <v/>
      </c>
      <c r="I12" s="267">
        <f>SUMIF('展示用-2026年签约数据汇总（0702统计）'!C:C,C12,'展示用-2026年签约数据汇总（0702统计）'!N:N)</f>
        <v/>
      </c>
      <c r="J12" s="269" t="n"/>
      <c r="K12" s="269" t="n"/>
      <c r="L12" s="269" t="n"/>
      <c r="M12" s="269" t="n"/>
      <c r="N12" s="269" t="n"/>
      <c r="O12" s="269" t="n"/>
      <c r="P12" s="268">
        <f>SUM(D12:O12)</f>
        <v/>
      </c>
      <c r="Q12" s="95" t="n"/>
      <c r="S12" s="93" t="n"/>
    </row>
    <row r="13" ht="23" customFormat="1" customHeight="1" s="92">
      <c r="A13" s="95" t="n"/>
      <c r="C13" s="103" t="inlineStr">
        <is>
          <t>李雷</t>
        </is>
      </c>
      <c r="D13" s="267" t="n"/>
      <c r="E13" s="267" t="n"/>
      <c r="F13" s="267" t="n"/>
      <c r="G13" s="267" t="n"/>
      <c r="H13" s="267" t="n"/>
      <c r="I13" s="267" t="n"/>
      <c r="J13" s="269" t="n"/>
      <c r="K13" s="269" t="n"/>
      <c r="L13" s="269" t="n"/>
      <c r="M13" s="269" t="n"/>
      <c r="N13" s="269" t="n"/>
      <c r="O13" s="269" t="n"/>
      <c r="P13" s="268" t="n"/>
      <c r="Q13" s="95" t="n"/>
      <c r="S13" s="93" t="n"/>
    </row>
    <row r="14" ht="23" customFormat="1" customHeight="1" s="92">
      <c r="A14" s="95" t="n"/>
      <c r="C14" s="103" t="inlineStr">
        <is>
          <t>梁秋霞</t>
        </is>
      </c>
      <c r="D14" s="267" t="n"/>
      <c r="E14" s="267" t="n"/>
      <c r="F14" s="267" t="n"/>
      <c r="G14" s="267" t="n"/>
      <c r="H14" s="267" t="n"/>
      <c r="I14" s="267" t="n"/>
      <c r="J14" s="269" t="n"/>
      <c r="K14" s="269" t="n"/>
      <c r="L14" s="269" t="n"/>
      <c r="M14" s="269" t="n"/>
      <c r="N14" s="269" t="n"/>
      <c r="O14" s="269" t="n"/>
      <c r="P14" s="268" t="n"/>
      <c r="Q14" s="95" t="n"/>
      <c r="S14" s="93" t="n"/>
    </row>
    <row r="15" ht="23" customFormat="1" customHeight="1" s="92">
      <c r="A15" s="95" t="n"/>
      <c r="B15" s="92" t="inlineStr">
        <is>
          <t>傲翔组</t>
        </is>
      </c>
      <c r="C15" s="103" t="inlineStr">
        <is>
          <t>吴傲翔</t>
        </is>
      </c>
      <c r="D15" s="267">
        <f>SUMIF('展示用-2026年签约数据汇总（0702统计）'!C:C,C15,'展示用-2026年签约数据汇总（0702统计）'!I:I)</f>
        <v/>
      </c>
      <c r="E15" s="267">
        <f>SUMIF('展示用-2026年签约数据汇总（0702统计）'!C:C,C15,'展示用-2026年签约数据汇总（0702统计）'!J:J)</f>
        <v/>
      </c>
      <c r="F15" s="267">
        <f>SUMIF('展示用-2026年签约数据汇总（0702统计）'!C:C,C15,'展示用-2026年签约数据汇总（0702统计）'!K:K)</f>
        <v/>
      </c>
      <c r="G15" s="267">
        <f>SUMIF('展示用-2026年签约数据汇总（0702统计）'!C:C,C15,'展示用-2026年签约数据汇总（0702统计）'!L:L)</f>
        <v/>
      </c>
      <c r="H15" s="267">
        <f>SUMIF('展示用-2026年签约数据汇总（0702统计）'!C:C,C15,'展示用-2026年签约数据汇总（0702统计）'!M:M)</f>
        <v/>
      </c>
      <c r="I15" s="267">
        <f>SUMIF('展示用-2026年签约数据汇总（0702统计）'!C:C,C15,'展示用-2026年签约数据汇总（0702统计）'!N:N)</f>
        <v/>
      </c>
      <c r="J15" s="269" t="n"/>
      <c r="K15" s="269" t="n"/>
      <c r="L15" s="269" t="n"/>
      <c r="M15" s="269" t="n"/>
      <c r="N15" s="269" t="n"/>
      <c r="O15" s="269" t="n"/>
      <c r="P15" s="268">
        <f>SUM(D15:O15)</f>
        <v/>
      </c>
      <c r="Q15" s="95" t="n"/>
      <c r="S15" s="93" t="n"/>
    </row>
    <row r="16" ht="23" customFormat="1" customHeight="1" s="92">
      <c r="A16" s="95" t="n"/>
      <c r="C16" s="103" t="inlineStr">
        <is>
          <t>李菁萍</t>
        </is>
      </c>
      <c r="D16" s="267">
        <f>SUMIF('展示用-2026年签约数据汇总（0702统计）'!C:C,C16,'展示用-2026年签约数据汇总（0702统计）'!I:I)</f>
        <v/>
      </c>
      <c r="E16" s="267">
        <f>SUMIF('展示用-2026年签约数据汇总（0702统计）'!C:C,C16,'展示用-2026年签约数据汇总（0702统计）'!J:J)</f>
        <v/>
      </c>
      <c r="F16" s="267">
        <f>SUMIF('展示用-2026年签约数据汇总（0702统计）'!C:C,C16,'展示用-2026年签约数据汇总（0702统计）'!K:K)</f>
        <v/>
      </c>
      <c r="G16" s="267">
        <f>SUMIF('展示用-2026年签约数据汇总（0702统计）'!C:C,C16,'展示用-2026年签约数据汇总（0702统计）'!L:L)</f>
        <v/>
      </c>
      <c r="H16" s="267">
        <f>SUMIF('展示用-2026年签约数据汇总（0702统计）'!C:C,C16,'展示用-2026年签约数据汇总（0702统计）'!M:M)</f>
        <v/>
      </c>
      <c r="I16" s="267">
        <f>SUMIF('展示用-2026年签约数据汇总（0702统计）'!C:C,C16,'展示用-2026年签约数据汇总（0702统计）'!N:N)</f>
        <v/>
      </c>
      <c r="J16" s="269" t="n"/>
      <c r="K16" s="269" t="n"/>
      <c r="L16" s="269" t="n"/>
      <c r="M16" s="269" t="n"/>
      <c r="N16" s="269" t="n"/>
      <c r="O16" s="269" t="n"/>
      <c r="P16" s="268">
        <f>SUM(D16:O16)</f>
        <v/>
      </c>
      <c r="Q16" s="95" t="n"/>
      <c r="S16" s="93" t="n"/>
    </row>
    <row r="17" ht="23" customFormat="1" customHeight="1" s="92">
      <c r="A17" s="95" t="n"/>
      <c r="C17" s="103" t="inlineStr">
        <is>
          <t>于永强</t>
        </is>
      </c>
      <c r="D17" s="267">
        <f>SUMIF('展示用-2026年签约数据汇总（0702统计）'!C:C,C17,'展示用-2026年签约数据汇总（0702统计）'!I:I)</f>
        <v/>
      </c>
      <c r="E17" s="267">
        <f>SUMIF('展示用-2026年签约数据汇总（0702统计）'!C:C,C17,'展示用-2026年签约数据汇总（0702统计）'!J:J)</f>
        <v/>
      </c>
      <c r="F17" s="267">
        <f>SUMIF('展示用-2026年签约数据汇总（0702统计）'!C:C,C17,'展示用-2026年签约数据汇总（0702统计）'!K:K)</f>
        <v/>
      </c>
      <c r="G17" s="267">
        <f>SUMIF('展示用-2026年签约数据汇总（0702统计）'!C:C,C17,'展示用-2026年签约数据汇总（0702统计）'!L:L)</f>
        <v/>
      </c>
      <c r="H17" s="267">
        <f>SUMIF('展示用-2026年签约数据汇总（0702统计）'!C:C,C17,'展示用-2026年签约数据汇总（0702统计）'!M:M)</f>
        <v/>
      </c>
      <c r="I17" s="267">
        <f>SUMIF('展示用-2026年签约数据汇总（0702统计）'!C:C,C17,'展示用-2026年签约数据汇总（0702统计）'!N:N)</f>
        <v/>
      </c>
      <c r="J17" s="269" t="n"/>
      <c r="K17" s="269" t="n"/>
      <c r="L17" s="269" t="n"/>
      <c r="M17" s="269" t="n"/>
      <c r="N17" s="269" t="n"/>
      <c r="O17" s="269" t="n"/>
      <c r="P17" s="268">
        <f>SUM(D17:O17)</f>
        <v/>
      </c>
      <c r="Q17" s="95" t="n"/>
      <c r="S17" s="93" t="n"/>
    </row>
    <row r="18" ht="23" customFormat="1" customHeight="1" s="92">
      <c r="A18" s="95" t="n"/>
      <c r="C18" s="103" t="inlineStr">
        <is>
          <t>胡佳新</t>
        </is>
      </c>
      <c r="D18" s="267">
        <f>SUMIF('展示用-2026年签约数据汇总（0702统计）'!C:C,C18,'展示用-2026年签约数据汇总（0702统计）'!I:I)</f>
        <v/>
      </c>
      <c r="E18" s="267">
        <f>SUMIF('展示用-2026年签约数据汇总（0702统计）'!C:C,C18,'展示用-2026年签约数据汇总（0702统计）'!J:J)</f>
        <v/>
      </c>
      <c r="F18" s="267">
        <f>SUMIF('展示用-2026年签约数据汇总（0702统计）'!C:C,C18,'展示用-2026年签约数据汇总（0702统计）'!K:K)</f>
        <v/>
      </c>
      <c r="G18" s="267">
        <f>SUMIF('展示用-2026年签约数据汇总（0702统计）'!C:C,C18,'展示用-2026年签约数据汇总（0702统计）'!L:L)</f>
        <v/>
      </c>
      <c r="H18" s="267">
        <f>SUMIF('展示用-2026年签约数据汇总（0702统计）'!C:C,C18,'展示用-2026年签约数据汇总（0702统计）'!M:M)</f>
        <v/>
      </c>
      <c r="I18" s="267">
        <f>SUMIF('展示用-2026年签约数据汇总（0702统计）'!C:C,C18,'展示用-2026年签约数据汇总（0702统计）'!N:N)</f>
        <v/>
      </c>
      <c r="J18" s="269" t="n"/>
      <c r="K18" s="269" t="n"/>
      <c r="L18" s="269" t="n"/>
      <c r="M18" s="269" t="n"/>
      <c r="N18" s="269" t="n"/>
      <c r="O18" s="269" t="n"/>
      <c r="P18" s="268">
        <f>SUM(D18:O18)</f>
        <v/>
      </c>
      <c r="Q18" s="95" t="n"/>
    </row>
    <row r="19" ht="23" customFormat="1" customHeight="1" s="92">
      <c r="A19" s="95" t="n"/>
      <c r="B19" s="92" t="inlineStr">
        <is>
          <t>意林组</t>
        </is>
      </c>
      <c r="C19" s="103" t="inlineStr">
        <is>
          <t>杨意林</t>
        </is>
      </c>
      <c r="D19" s="267">
        <f>SUMIF('展示用-2026年签约数据汇总（0702统计）'!C:C,C19,'展示用-2026年签约数据汇总（0702统计）'!I:I)</f>
        <v/>
      </c>
      <c r="E19" s="267">
        <f>SUMIF('展示用-2026年签约数据汇总（0702统计）'!C:C,C19,'展示用-2026年签约数据汇总（0702统计）'!J:J)</f>
        <v/>
      </c>
      <c r="F19" s="267">
        <f>SUMIF('展示用-2026年签约数据汇总（0702统计）'!C:C,C19,'展示用-2026年签约数据汇总（0702统计）'!K:K)</f>
        <v/>
      </c>
      <c r="G19" s="267">
        <f>SUMIF('展示用-2026年签约数据汇总（0702统计）'!C:C,C19,'展示用-2026年签约数据汇总（0702统计）'!L:L)</f>
        <v/>
      </c>
      <c r="H19" s="267">
        <f>SUMIF('展示用-2026年签约数据汇总（0702统计）'!C:C,C19,'展示用-2026年签约数据汇总（0702统计）'!M:M)</f>
        <v/>
      </c>
      <c r="I19" s="267">
        <f>SUMIF('展示用-2026年签约数据汇总（0702统计）'!C:C,C19,'展示用-2026年签约数据汇总（0702统计）'!N:N)</f>
        <v/>
      </c>
      <c r="J19" s="269" t="n"/>
      <c r="K19" s="269" t="n"/>
      <c r="L19" s="269" t="n"/>
      <c r="M19" s="269" t="n"/>
      <c r="N19" s="269" t="n"/>
      <c r="O19" s="269" t="n"/>
      <c r="P19" s="268">
        <f>SUM(D19:O19)</f>
        <v/>
      </c>
      <c r="Q19" s="95" t="n"/>
    </row>
    <row r="20" hidden="1" ht="23" customHeight="1" s="214">
      <c r="A20" s="95" t="n"/>
      <c r="C20" s="103" t="inlineStr">
        <is>
          <t>杨第洲</t>
        </is>
      </c>
      <c r="D20" s="267">
        <f>SUMIF('展示用-2026年签约数据汇总（0702统计）'!C:C,C20,'展示用-2026年签约数据汇总（0702统计）'!I:I)</f>
        <v/>
      </c>
      <c r="E20" s="267">
        <f>SUMIF('展示用-2026年签约数据汇总（0702统计）'!C:C,C20,'展示用-2026年签约数据汇总（0702统计）'!J:J)</f>
        <v/>
      </c>
      <c r="F20" s="267">
        <f>SUMIF('展示用-2026年签约数据汇总（0702统计）'!C:C,C20,'展示用-2026年签约数据汇总（0702统计）'!K:K)</f>
        <v/>
      </c>
      <c r="G20" s="267">
        <f>SUMIF('展示用-2026年签约数据汇总（0702统计）'!C:C,C20,'展示用-2026年签约数据汇总（0702统计）'!L:L)</f>
        <v/>
      </c>
      <c r="H20" s="267">
        <f>SUMIF('展示用-2026年签约数据汇总（0702统计）'!C:C,C20,'展示用-2026年签约数据汇总（0702统计）'!M:M)</f>
        <v/>
      </c>
      <c r="I20" s="267">
        <f>SUMIF('展示用-2026年签约数据汇总（0702统计）'!C:C,C20,'展示用-2026年签约数据汇总（0702统计）'!N:N)</f>
        <v/>
      </c>
      <c r="J20" s="270" t="n"/>
      <c r="K20" s="270" t="n"/>
      <c r="L20" s="269" t="n"/>
      <c r="M20" s="269" t="n"/>
      <c r="N20" s="269" t="n"/>
      <c r="O20" s="269" t="n"/>
      <c r="P20" s="268">
        <f>SUM(D20:O20)</f>
        <v/>
      </c>
      <c r="Q20" s="95" t="n"/>
    </row>
    <row r="21" hidden="1" ht="23" customFormat="1" customHeight="1" s="93">
      <c r="A21" s="95" t="n"/>
      <c r="C21" s="103" t="inlineStr">
        <is>
          <t>邬晓娟</t>
        </is>
      </c>
      <c r="D21" s="267">
        <f>SUMIF('展示用-2026年签约数据汇总（0702统计）'!C:C,C21,'展示用-2026年签约数据汇总（0702统计）'!I:I)</f>
        <v/>
      </c>
      <c r="E21" s="267">
        <f>SUMIF('展示用-2026年签约数据汇总（0702统计）'!C:C,C21,'展示用-2026年签约数据汇总（0702统计）'!J:J)</f>
        <v/>
      </c>
      <c r="F21" s="267">
        <f>SUMIF('展示用-2026年签约数据汇总（0702统计）'!C:C,C21,'展示用-2026年签约数据汇总（0702统计）'!K:K)</f>
        <v/>
      </c>
      <c r="G21" s="267">
        <f>SUMIF('展示用-2026年签约数据汇总（0702统计）'!C:C,C21,'展示用-2026年签约数据汇总（0702统计）'!L:L)</f>
        <v/>
      </c>
      <c r="H21" s="267">
        <f>SUMIF('展示用-2026年签约数据汇总（0702统计）'!C:C,C21,'展示用-2026年签约数据汇总（0702统计）'!M:M)</f>
        <v/>
      </c>
      <c r="I21" s="267">
        <f>SUMIF('展示用-2026年签约数据汇总（0702统计）'!C:C,C21,'展示用-2026年签约数据汇总（0702统计）'!N:N)</f>
        <v/>
      </c>
      <c r="J21" s="269" t="n"/>
      <c r="K21" s="269" t="n"/>
      <c r="L21" s="269" t="n"/>
      <c r="M21" s="269" t="n"/>
      <c r="N21" s="269" t="n"/>
      <c r="O21" s="269" t="n"/>
      <c r="P21" s="268">
        <f>SUM(D21:O21)</f>
        <v/>
      </c>
      <c r="Q21" s="95" t="n"/>
    </row>
    <row r="22" hidden="1" ht="23" customFormat="1" customHeight="1" s="93">
      <c r="A22" s="95" t="n"/>
      <c r="C22" s="103" t="inlineStr">
        <is>
          <t>钟嫄</t>
        </is>
      </c>
      <c r="D22" s="267">
        <f>SUMIF('展示用-2026年签约数据汇总（0702统计）'!C:C,C22,'展示用-2026年签约数据汇总（0702统计）'!I:I)</f>
        <v/>
      </c>
      <c r="E22" s="267">
        <f>SUMIF('展示用-2026年签约数据汇总（0702统计）'!C:C,C22,'展示用-2026年签约数据汇总（0702统计）'!J:J)</f>
        <v/>
      </c>
      <c r="F22" s="267">
        <f>SUMIF('展示用-2026年签约数据汇总（0702统计）'!C:C,C22,'展示用-2026年签约数据汇总（0702统计）'!K:K)</f>
        <v/>
      </c>
      <c r="G22" s="267">
        <f>SUMIF('展示用-2026年签约数据汇总（0702统计）'!C:C,C22,'展示用-2026年签约数据汇总（0702统计）'!L:L)</f>
        <v/>
      </c>
      <c r="H22" s="267">
        <f>SUMIF('展示用-2026年签约数据汇总（0702统计）'!C:C,C22,'展示用-2026年签约数据汇总（0702统计）'!M:M)</f>
        <v/>
      </c>
      <c r="I22" s="267">
        <f>SUMIF('展示用-2026年签约数据汇总（0702统计）'!C:C,C22,'展示用-2026年签约数据汇总（0702统计）'!N:N)</f>
        <v/>
      </c>
      <c r="J22" s="269" t="n"/>
      <c r="K22" s="269" t="n"/>
      <c r="L22" s="269" t="n"/>
      <c r="M22" s="269" t="n"/>
      <c r="N22" s="269" t="n"/>
      <c r="O22" s="269" t="n"/>
      <c r="P22" s="268">
        <f>SUM(D22:O22)</f>
        <v/>
      </c>
      <c r="Q22" s="95" t="n"/>
    </row>
    <row r="23" ht="23" customFormat="1" customHeight="1" s="93">
      <c r="A23" s="95" t="n"/>
      <c r="B23" s="92" t="inlineStr">
        <is>
          <t>冉哥组</t>
        </is>
      </c>
      <c r="C23" s="103" t="inlineStr">
        <is>
          <t>冉钦</t>
        </is>
      </c>
      <c r="D23" s="267">
        <f>SUMIF('展示用-2026年签约数据汇总（0702统计）'!C:C,C23,'展示用-2026年签约数据汇总（0702统计）'!I:I)</f>
        <v/>
      </c>
      <c r="E23" s="267">
        <f>SUMIF('展示用-2026年签约数据汇总（0702统计）'!C:C,C23,'展示用-2026年签约数据汇总（0702统计）'!J:J)</f>
        <v/>
      </c>
      <c r="F23" s="267">
        <f>SUMIF('展示用-2026年签约数据汇总（0702统计）'!C:C,C23,'展示用-2026年签约数据汇总（0702统计）'!K:K)</f>
        <v/>
      </c>
      <c r="G23" s="267">
        <f>SUMIF('展示用-2026年签约数据汇总（0702统计）'!C:C,C23,'展示用-2026年签约数据汇总（0702统计）'!L:L)</f>
        <v/>
      </c>
      <c r="H23" s="267">
        <f>SUMIF('展示用-2026年签约数据汇总（0702统计）'!C:C,C23,'展示用-2026年签约数据汇总（0702统计）'!M:M)</f>
        <v/>
      </c>
      <c r="I23" s="267">
        <f>SUMIF('展示用-2026年签约数据汇总（0702统计）'!C:C,C23,'展示用-2026年签约数据汇总（0702统计）'!N:N)</f>
        <v/>
      </c>
      <c r="J23" s="269" t="n"/>
      <c r="K23" s="269" t="n"/>
      <c r="L23" s="269" t="n"/>
      <c r="M23" s="269" t="n"/>
      <c r="N23" s="269" t="n"/>
      <c r="O23" s="269" t="n"/>
      <c r="P23" s="268">
        <f>SUM(D23:O23)</f>
        <v/>
      </c>
      <c r="Q23" s="95" t="n"/>
    </row>
    <row r="24" hidden="1" ht="23" customFormat="1" customHeight="1" s="93">
      <c r="A24" s="95" t="n"/>
      <c r="B24" s="92" t="inlineStr">
        <is>
          <t>王安祥组</t>
        </is>
      </c>
      <c r="C24" s="103" t="inlineStr">
        <is>
          <t>王安祥</t>
        </is>
      </c>
      <c r="D24" s="267">
        <f>SUMIF('展示用-2026年签约数据汇总（0702统计）'!C:C,C24,'展示用-2026年签约数据汇总（0702统计）'!I:I)</f>
        <v/>
      </c>
      <c r="E24" s="267">
        <f>SUMIF('展示用-2026年签约数据汇总（0702统计）'!C:C,C24,'展示用-2026年签约数据汇总（0702统计）'!J:J)</f>
        <v/>
      </c>
      <c r="F24" s="267">
        <f>SUMIF('展示用-2026年签约数据汇总（0702统计）'!C:C,C24,'展示用-2026年签约数据汇总（0702统计）'!K:K)</f>
        <v/>
      </c>
      <c r="G24" s="267">
        <f>SUMIF('展示用-2026年签约数据汇总（0702统计）'!C:C,C24,'展示用-2026年签约数据汇总（0702统计）'!L:L)</f>
        <v/>
      </c>
      <c r="H24" s="267">
        <f>SUMIF('展示用-2026年签约数据汇总（0702统计）'!C:C,C24,'展示用-2026年签约数据汇总（0702统计）'!M:M)</f>
        <v/>
      </c>
      <c r="I24" s="267">
        <f>SUMIF('展示用-2026年签约数据汇总（0702统计）'!C:C,C24,'展示用-2026年签约数据汇总（0702统计）'!N:N)</f>
        <v/>
      </c>
      <c r="J24" s="269" t="n"/>
      <c r="K24" s="269" t="n"/>
      <c r="L24" s="269" t="n"/>
      <c r="M24" s="269" t="n"/>
      <c r="N24" s="269" t="n"/>
      <c r="O24" s="269" t="n"/>
      <c r="P24" s="268">
        <f>SUM(D24:O24)</f>
        <v/>
      </c>
      <c r="Q24" s="95" t="n"/>
    </row>
    <row r="25" hidden="1" ht="23" customFormat="1" customHeight="1" s="92">
      <c r="A25" s="95" t="n"/>
      <c r="B25" s="109" t="inlineStr">
        <is>
          <t>外贸组</t>
        </is>
      </c>
      <c r="C25" s="103" t="inlineStr">
        <is>
          <t>彭绍佳</t>
        </is>
      </c>
      <c r="D25" s="267">
        <f>SUMIF('展示用-2026年签约数据汇总（0702统计）'!C:C,C25,'展示用-2026年签约数据汇总（0702统计）'!I:I)</f>
        <v/>
      </c>
      <c r="E25" s="267">
        <f>SUMIF('展示用-2026年签约数据汇总（0702统计）'!C:C,C25,'展示用-2026年签约数据汇总（0702统计）'!J:J)</f>
        <v/>
      </c>
      <c r="F25" s="267">
        <f>SUMIF('展示用-2026年签约数据汇总（0702统计）'!C:C,C25,'展示用-2026年签约数据汇总（0702统计）'!K:K)</f>
        <v/>
      </c>
      <c r="G25" s="267">
        <f>SUMIF('展示用-2026年签约数据汇总（0702统计）'!C:C,C25,'展示用-2026年签约数据汇总（0702统计）'!L:L)</f>
        <v/>
      </c>
      <c r="H25" s="267">
        <f>SUMIF('展示用-2026年签约数据汇总（0702统计）'!C:C,C25,'展示用-2026年签约数据汇总（0702统计）'!M:M)</f>
        <v/>
      </c>
      <c r="I25" s="267">
        <f>SUMIF('展示用-2026年签约数据汇总（0702统计）'!C:C,C25,'展示用-2026年签约数据汇总（0702统计）'!N:N)</f>
        <v/>
      </c>
      <c r="J25" s="269" t="n"/>
      <c r="K25" s="269" t="n"/>
      <c r="L25" s="269" t="n"/>
      <c r="M25" s="269" t="n"/>
      <c r="N25" s="269" t="n"/>
      <c r="O25" s="269" t="n"/>
      <c r="P25" s="268">
        <f>SUM(D25:O25)</f>
        <v/>
      </c>
      <c r="Q25" s="95" t="n"/>
    </row>
    <row r="26" customFormat="1" s="93">
      <c r="A26" s="95" t="n"/>
      <c r="B26" s="271" t="inlineStr">
        <is>
          <t>总计</t>
        </is>
      </c>
      <c r="C26" s="269" t="n"/>
      <c r="D26" s="269">
        <f>SUM(D5:D25)</f>
        <v/>
      </c>
      <c r="E26" s="269">
        <f>SUM(E5:E25)</f>
        <v/>
      </c>
      <c r="F26" s="269">
        <f>SUM(F5:F25)</f>
        <v/>
      </c>
      <c r="G26" s="269">
        <f>SUM(G5:G25)</f>
        <v/>
      </c>
      <c r="H26" s="269">
        <f>SUM(H5:H25)</f>
        <v/>
      </c>
      <c r="I26" s="269">
        <f>SUM(I5:I25)</f>
        <v/>
      </c>
      <c r="J26" s="269">
        <f>SUM(J5:J25)</f>
        <v/>
      </c>
      <c r="K26" s="269">
        <f>SUM(K5:K25)</f>
        <v/>
      </c>
      <c r="L26" s="269">
        <f>SUM(L5:L25)</f>
        <v/>
      </c>
      <c r="M26" s="269">
        <f>SUM(M5:M25)</f>
        <v/>
      </c>
      <c r="N26" s="269">
        <f>SUM(N5:N25)</f>
        <v/>
      </c>
      <c r="O26" s="269">
        <f>SUM(O5:O25)</f>
        <v/>
      </c>
      <c r="P26" s="269">
        <f>SUM(P5:P25)</f>
        <v/>
      </c>
      <c r="Q26" s="95" t="n"/>
    </row>
    <row r="27">
      <c r="A27" s="95" t="n"/>
      <c r="Q27" s="95" t="n"/>
    </row>
    <row r="28">
      <c r="A28" s="95" t="n"/>
      <c r="P28" s="111" t="n"/>
      <c r="Q28" s="95" t="n"/>
    </row>
    <row r="29">
      <c r="A29" s="95" t="n"/>
      <c r="P29" s="111" t="n"/>
      <c r="Q29" s="95" t="n"/>
    </row>
    <row r="30">
      <c r="A30" s="95" t="n"/>
      <c r="P30" s="111" t="n"/>
      <c r="Q30" s="95" t="n"/>
    </row>
    <row r="31">
      <c r="A31" s="95" t="n"/>
      <c r="P31" s="111" t="n"/>
      <c r="Q31" s="95" t="n"/>
    </row>
    <row r="32">
      <c r="A32" s="95" t="n"/>
      <c r="P32" s="111" t="n"/>
      <c r="Q32" s="95" t="n"/>
    </row>
    <row r="33">
      <c r="A33" s="95" t="n"/>
      <c r="P33" s="111" t="n"/>
      <c r="Q33" s="95" t="n"/>
    </row>
    <row r="34">
      <c r="A34" s="95" t="n"/>
      <c r="P34" s="111" t="n"/>
      <c r="Q34" s="95" t="n"/>
    </row>
    <row r="35">
      <c r="A35" s="95" t="n"/>
      <c r="P35" s="111" t="n"/>
      <c r="Q35" s="95" t="n"/>
    </row>
    <row r="36">
      <c r="A36" s="95" t="n"/>
      <c r="P36" s="111" t="n"/>
      <c r="Q36" s="95" t="n"/>
    </row>
    <row r="37">
      <c r="A37" s="95" t="n"/>
      <c r="P37" s="111" t="n"/>
      <c r="Q37" s="95" t="n"/>
    </row>
    <row r="38">
      <c r="A38" s="95" t="n"/>
      <c r="P38" s="111" t="n"/>
      <c r="Q38" s="95" t="n"/>
    </row>
    <row r="39">
      <c r="A39" s="95" t="n"/>
      <c r="P39" s="111" t="n"/>
      <c r="Q39" s="95" t="n"/>
    </row>
    <row r="40">
      <c r="A40" s="95" t="n"/>
      <c r="P40" s="111" t="n"/>
      <c r="Q40" s="95" t="n"/>
    </row>
    <row r="41">
      <c r="A41" s="95" t="n"/>
      <c r="P41" s="111" t="n"/>
      <c r="Q41" s="95" t="n"/>
    </row>
    <row r="42">
      <c r="A42" s="95" t="n"/>
      <c r="P42" s="111" t="n"/>
      <c r="Q42" s="95" t="n"/>
    </row>
    <row r="43">
      <c r="A43" s="95" t="n"/>
      <c r="Q43" s="95" t="n"/>
    </row>
    <row r="44" ht="13" customFormat="1" customHeight="1" s="91">
      <c r="A44" s="95" t="n"/>
      <c r="B44" s="95" t="n"/>
      <c r="C44" s="96" t="n"/>
      <c r="D44" s="96" t="n"/>
      <c r="E44" s="95" t="n"/>
      <c r="F44" s="95" t="n"/>
      <c r="G44" s="95" t="n"/>
      <c r="H44" s="95" t="n"/>
      <c r="I44" s="95" t="n"/>
      <c r="J44" s="95" t="n"/>
      <c r="K44" s="95" t="n"/>
      <c r="L44" s="95" t="n"/>
      <c r="M44" s="95" t="n"/>
      <c r="N44" s="95" t="n"/>
      <c r="O44" s="95" t="n"/>
      <c r="P44" s="95" t="n"/>
      <c r="Q44" s="95" t="n"/>
    </row>
    <row r="46">
      <c r="B46" s="93" t="inlineStr">
        <is>
          <t>小组合计</t>
        </is>
      </c>
      <c r="C46" s="93" t="inlineStr">
        <is>
          <t>勇哥组</t>
        </is>
      </c>
      <c r="D46" s="272">
        <f>SUM(D5:D9)</f>
        <v/>
      </c>
      <c r="E46" s="272" t="n"/>
      <c r="F46" s="272">
        <f>SUM(F5:F9)</f>
        <v/>
      </c>
      <c r="G46" s="272">
        <f>SUM(G5:G9)</f>
        <v/>
      </c>
      <c r="H46" s="272">
        <f>SUM(H5:H9)</f>
        <v/>
      </c>
      <c r="I46" s="272">
        <f>SUM(I5:I9)</f>
        <v/>
      </c>
      <c r="J46" s="272">
        <f>SUM(J5:J9)</f>
        <v/>
      </c>
      <c r="K46" s="272">
        <f>SUM(K5:K9)</f>
        <v/>
      </c>
      <c r="L46" s="272">
        <f>SUM(L5:L9)</f>
        <v/>
      </c>
      <c r="M46" s="272">
        <f>SUM(M5:M9)</f>
        <v/>
      </c>
      <c r="N46" s="272">
        <f>SUM(N5:N9)</f>
        <v/>
      </c>
      <c r="O46" s="272">
        <f>SUM(O5:O9)</f>
        <v/>
      </c>
      <c r="P46" s="273">
        <f>SUM(D46:O46)</f>
        <v/>
      </c>
    </row>
    <row r="47" ht="18" customHeight="1" s="214">
      <c r="C47" s="93" t="inlineStr">
        <is>
          <t>傲翔组</t>
        </is>
      </c>
      <c r="D47" s="272">
        <f>SUM(D15:D18)</f>
        <v/>
      </c>
      <c r="E47" s="272" t="n"/>
      <c r="F47" s="272">
        <f>SUM(F15:F18)</f>
        <v/>
      </c>
      <c r="G47" s="272">
        <f>SUM(G15:G18)</f>
        <v/>
      </c>
      <c r="H47" s="272">
        <f>SUM(H15:H18)</f>
        <v/>
      </c>
      <c r="I47" s="272">
        <f>SUM(I15:I18)</f>
        <v/>
      </c>
      <c r="J47" s="272">
        <f>SUM(J15:J18)</f>
        <v/>
      </c>
      <c r="K47" s="272">
        <f>SUM(K15:K18)</f>
        <v/>
      </c>
      <c r="L47" s="272">
        <f>SUM(L15:L18)</f>
        <v/>
      </c>
      <c r="M47" s="272">
        <f>SUM(M15:M18)</f>
        <v/>
      </c>
      <c r="N47" s="272">
        <f>SUM(N15:N18)</f>
        <v/>
      </c>
      <c r="O47" s="272">
        <f>SUM(O15:O18)</f>
        <v/>
      </c>
      <c r="P47" s="273">
        <f>SUM(D47:O47)</f>
        <v/>
      </c>
    </row>
    <row r="48" ht="18" customHeight="1" s="214">
      <c r="C48" s="93" t="inlineStr">
        <is>
          <t>意林组</t>
        </is>
      </c>
      <c r="D48" s="272">
        <f>SUM(D19:D22)</f>
        <v/>
      </c>
      <c r="E48" s="272" t="n"/>
      <c r="F48" s="272">
        <f>SUM(F19:F22)</f>
        <v/>
      </c>
      <c r="G48" s="272">
        <f>SUM(G19:G22)</f>
        <v/>
      </c>
      <c r="H48" s="272">
        <f>SUM(H19:H22)</f>
        <v/>
      </c>
      <c r="I48" s="272">
        <f>SUM(I19:I22)</f>
        <v/>
      </c>
      <c r="J48" s="272">
        <f>SUM(J19:J22)</f>
        <v/>
      </c>
      <c r="K48" s="272">
        <f>SUM(K19:K22)</f>
        <v/>
      </c>
      <c r="L48" s="272">
        <f>SUM(L19:L22)</f>
        <v/>
      </c>
      <c r="M48" s="272">
        <f>SUM(M19:M22)</f>
        <v/>
      </c>
      <c r="N48" s="272">
        <f>SUM(N19:N22)</f>
        <v/>
      </c>
      <c r="O48" s="272">
        <f>SUM(O19:O22)</f>
        <v/>
      </c>
      <c r="P48" s="273">
        <f>SUM(D48:O48)</f>
        <v/>
      </c>
    </row>
    <row r="49" ht="18" customHeight="1" s="214">
      <c r="C49" s="93" t="inlineStr">
        <is>
          <t>冉哥组</t>
        </is>
      </c>
      <c r="D49" s="272">
        <f>D23</f>
        <v/>
      </c>
      <c r="E49" s="272" t="n"/>
      <c r="F49" s="272">
        <f>F23</f>
        <v/>
      </c>
      <c r="G49" s="272">
        <f>G23</f>
        <v/>
      </c>
      <c r="H49" s="272">
        <f>H23</f>
        <v/>
      </c>
      <c r="I49" s="272">
        <f>I23</f>
        <v/>
      </c>
      <c r="J49" s="272">
        <f>J23</f>
        <v/>
      </c>
      <c r="K49" s="272">
        <f>K23</f>
        <v/>
      </c>
      <c r="L49" s="272">
        <f>L23</f>
        <v/>
      </c>
      <c r="M49" s="272">
        <f>M23</f>
        <v/>
      </c>
      <c r="N49" s="272">
        <f>N23</f>
        <v/>
      </c>
      <c r="O49" s="272">
        <f>O23</f>
        <v/>
      </c>
      <c r="P49" s="273">
        <f>SUM(D49:O49)</f>
        <v/>
      </c>
    </row>
    <row r="50" hidden="1" ht="18" customFormat="1" customHeight="1" s="94">
      <c r="A50" s="91" t="n"/>
      <c r="B50" s="93" t="n"/>
      <c r="C50" s="93" t="inlineStr">
        <is>
          <t>王安祥组</t>
        </is>
      </c>
      <c r="D50" s="272">
        <f>D24</f>
        <v/>
      </c>
      <c r="E50" s="272" t="n"/>
      <c r="F50" s="272">
        <f>F24</f>
        <v/>
      </c>
      <c r="G50" s="272">
        <f>G24</f>
        <v/>
      </c>
      <c r="H50" s="272">
        <f>H24</f>
        <v/>
      </c>
      <c r="I50" s="272">
        <f>I24</f>
        <v/>
      </c>
      <c r="J50" s="272">
        <f>J24</f>
        <v/>
      </c>
      <c r="K50" s="272">
        <f>K24</f>
        <v/>
      </c>
      <c r="L50" s="272">
        <f>L24</f>
        <v/>
      </c>
      <c r="M50" s="272">
        <f>M24</f>
        <v/>
      </c>
      <c r="N50" s="272">
        <f>N24</f>
        <v/>
      </c>
      <c r="O50" s="272">
        <f>O24</f>
        <v/>
      </c>
      <c r="P50" s="273">
        <f>SUM(D50:O50)</f>
        <v/>
      </c>
      <c r="Q50" s="91" t="n"/>
    </row>
    <row r="51" ht="18" customFormat="1" customHeight="1" s="94">
      <c r="A51" s="91" t="n"/>
      <c r="B51" s="93" t="n"/>
      <c r="C51" s="93" t="inlineStr">
        <is>
          <t>外贸组</t>
        </is>
      </c>
      <c r="D51" s="272">
        <f>D25</f>
        <v/>
      </c>
      <c r="E51" s="272" t="n"/>
      <c r="F51" s="272">
        <f>F25</f>
        <v/>
      </c>
      <c r="G51" s="272">
        <f>G25</f>
        <v/>
      </c>
      <c r="H51" s="272">
        <f>H25</f>
        <v/>
      </c>
      <c r="I51" s="272">
        <f>I25</f>
        <v/>
      </c>
      <c r="J51" s="272">
        <f>J25</f>
        <v/>
      </c>
      <c r="K51" s="272">
        <f>K25</f>
        <v/>
      </c>
      <c r="L51" s="272">
        <f>L25</f>
        <v/>
      </c>
      <c r="M51" s="272">
        <f>M25</f>
        <v/>
      </c>
      <c r="N51" s="272">
        <f>N25</f>
        <v/>
      </c>
      <c r="O51" s="272">
        <f>O25</f>
        <v/>
      </c>
      <c r="P51" s="273">
        <f>SUM(D51:O51)</f>
        <v/>
      </c>
      <c r="Q51" s="91" t="n"/>
    </row>
    <row r="52" ht="18" customFormat="1" customHeight="1" s="94">
      <c r="A52" s="91" t="n"/>
      <c r="B52" s="93" t="n"/>
      <c r="C52" s="93" t="inlineStr">
        <is>
          <t>总计</t>
        </is>
      </c>
      <c r="D52" s="273">
        <f>SUM(D46:D51)</f>
        <v/>
      </c>
      <c r="E52" s="273" t="n"/>
      <c r="F52" s="273">
        <f>SUM(F46:F51)</f>
        <v/>
      </c>
      <c r="G52" s="273">
        <f>SUM(G46:G51)</f>
        <v/>
      </c>
      <c r="H52" s="273">
        <f>SUM(H46:H51)</f>
        <v/>
      </c>
      <c r="I52" s="273">
        <f>SUM(I46:I51)</f>
        <v/>
      </c>
      <c r="J52" s="273">
        <f>SUM(J46:J51)</f>
        <v/>
      </c>
      <c r="K52" s="273">
        <f>SUM(K46:K51)</f>
        <v/>
      </c>
      <c r="L52" s="273">
        <f>SUM(L46:L51)</f>
        <v/>
      </c>
      <c r="M52" s="273">
        <f>SUM(M46:M51)</f>
        <v/>
      </c>
      <c r="N52" s="273">
        <f>SUM(N46:N51)</f>
        <v/>
      </c>
      <c r="O52" s="273">
        <f>SUM(O46:O51)</f>
        <v/>
      </c>
      <c r="P52" s="273">
        <f>SUM(D52:O52)</f>
        <v/>
      </c>
      <c r="Q52" s="91" t="n"/>
    </row>
    <row r="53" ht="18" customFormat="1" customHeight="1" s="94">
      <c r="A53" s="91" t="n"/>
      <c r="Q53" s="91" t="n"/>
    </row>
    <row r="54" ht="18" customHeight="1" s="214"/>
    <row r="55">
      <c r="B55" s="93" t="inlineStr">
        <is>
          <t>超元力销售奖惩:</t>
        </is>
      </c>
    </row>
    <row r="56">
      <c r="B56" s="93" t="inlineStr">
        <is>
          <t>月度销冠且达80万奖励1000，季度销冠且达240万奖励2000，年度销冠且达800万奖励1万</t>
        </is>
      </c>
    </row>
    <row r="57">
      <c r="B57" s="93" t="inlineStr">
        <is>
          <t>月度和季度业绩对赌</t>
        </is>
      </c>
    </row>
    <row r="58">
      <c r="B58" s="94" t="inlineStr">
        <is>
          <t>破蛋奖：前2个月能开单，200</t>
        </is>
      </c>
    </row>
    <row r="59">
      <c r="B59" s="94" t="inlineStr">
        <is>
          <t>新人达标奖：前2个月完成转正指标，600</t>
        </is>
      </c>
    </row>
    <row r="60">
      <c r="B60" s="94" t="inlineStr">
        <is>
          <t>新人业绩奖：0-6月任何月完成30万，500</t>
        </is>
      </c>
    </row>
    <row r="61">
      <c r="B61" s="94" t="inlineStr">
        <is>
          <t>转正指标：10万利润或28万业绩</t>
        </is>
      </c>
    </row>
    <row r="62">
      <c r="B62" s="93" t="inlineStr">
        <is>
          <t>惩罚：当月未达月度目标，扣除当月业绩提成20%</t>
        </is>
      </c>
    </row>
  </sheetData>
  <mergeCells count="5">
    <mergeCell ref="B3:P3"/>
    <mergeCell ref="C2:P2"/>
    <mergeCell ref="B15:B18"/>
    <mergeCell ref="B19:B22"/>
    <mergeCell ref="B5:B9"/>
  </mergeCells>
  <conditionalFormatting sqref="E5:E25">
    <cfRule type="top10" rank="1" priority="3" dxfId="0"/>
  </conditionalFormatting>
  <conditionalFormatting sqref="F5:F25">
    <cfRule type="top10" rank="1" priority="4" dxfId="1"/>
  </conditionalFormatting>
  <conditionalFormatting sqref="G5:G25">
    <cfRule type="top10" rank="1" priority="2" dxfId="1"/>
  </conditionalFormatting>
  <conditionalFormatting sqref="H5:H25">
    <cfRule type="top10" rank="1" priority="1" dxfId="1"/>
  </conditionalFormatting>
  <conditionalFormatting sqref="P5:P25">
    <cfRule type="top10" rank="1" priority="9" dxfId="1"/>
  </conditionalFormatting>
  <conditionalFormatting sqref="D5:E25">
    <cfRule type="top10" rank="1" priority="5" dxfId="1"/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0"/>
  <sheetViews>
    <sheetView showGridLines="0" zoomScale="85" zoomScaleNormal="85" workbookViewId="0">
      <pane xSplit="17" ySplit="3" topLeftCell="V4" activePane="bottomRight" state="frozen"/>
      <selection activeCell="A1" sqref="A1"/>
      <selection pane="topRight" activeCell="A1" sqref="A1"/>
      <selection pane="bottomLeft" activeCell="A1" sqref="A1"/>
      <selection pane="bottomRight" activeCell="K24" sqref="K24"/>
    </sheetView>
  </sheetViews>
  <sheetFormatPr baseColWidth="8" defaultColWidth="9" defaultRowHeight="19" customHeight="1"/>
  <cols>
    <col width="6.88181818181818" customWidth="1" style="23" min="1" max="1"/>
    <col width="11.7909090909091" customWidth="1" style="117" min="2" max="2"/>
    <col width="21.0727272727273" customWidth="1" style="117" min="3" max="3"/>
    <col width="21.4636363636364" customWidth="1" style="117" min="4" max="4"/>
    <col hidden="1" width="10.7909090909091" customWidth="1" style="274" min="5" max="5"/>
    <col width="16.7818181818182" customWidth="1" style="275" min="6" max="6"/>
    <col width="11.4272727272727" customWidth="1" style="276" min="7" max="7"/>
    <col width="15.5545454545455" customWidth="1" style="276" min="8" max="8"/>
    <col width="15.6818181818182" customWidth="1" style="277" min="9" max="9"/>
    <col width="20.7181818181818" customWidth="1" style="277" min="10" max="10"/>
    <col width="14.6363636363636" customWidth="1" style="277" min="11" max="11"/>
    <col hidden="1" width="13.8727272727273" customWidth="1" style="278" min="12" max="12"/>
    <col hidden="1" width="16.3454545454545" customWidth="1" style="278" min="13" max="13"/>
    <col width="8.381818181818179" customWidth="1" style="279" min="14" max="14"/>
    <col hidden="1" width="8.563636363636361" customWidth="1" style="31" min="15" max="15"/>
    <col width="18.7545454545455" customWidth="1" style="32" min="16" max="16"/>
    <col hidden="1" width="10.8909090909091" customWidth="1" style="280" min="17" max="17"/>
    <col width="17.6545454545455" customWidth="1" style="276" min="18" max="28"/>
    <col width="15.7090909090909" customWidth="1" style="276" min="29" max="29"/>
    <col width="10.3818181818182" customWidth="1" style="103" min="30" max="30"/>
    <col width="14.3363636363636" customWidth="1" style="103" min="31" max="31"/>
    <col width="8.890909090909091" customWidth="1" style="103" min="32" max="16381"/>
    <col width="9" customWidth="1" style="103" min="16382" max="16384"/>
  </cols>
  <sheetData>
    <row r="1" ht="27" customHeight="1" s="214">
      <c r="A1" s="232" t="inlineStr">
        <is>
          <t>2026年回款数据汇总</t>
        </is>
      </c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81" t="n"/>
      <c r="S1" s="281" t="n"/>
      <c r="T1" s="281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</row>
    <row r="2" s="214">
      <c r="A2" s="253" t="inlineStr">
        <is>
          <t>姓名</t>
        </is>
      </c>
      <c r="B2" s="253" t="inlineStr">
        <is>
          <t>收款主体</t>
        </is>
      </c>
      <c r="C2" s="253" t="inlineStr">
        <is>
          <t>付款主体</t>
        </is>
      </c>
      <c r="D2" s="253" t="inlineStr">
        <is>
          <t>产品</t>
        </is>
      </c>
      <c r="E2" s="282" t="inlineStr">
        <is>
          <t>合同日期</t>
        </is>
      </c>
      <c r="F2" s="283" t="inlineStr">
        <is>
          <t>合同总价</t>
        </is>
      </c>
      <c r="G2" s="284" t="inlineStr">
        <is>
          <t>居间费</t>
        </is>
      </c>
      <c r="H2" s="284" t="inlineStr">
        <is>
          <t>已回款-提成口（26年以前）</t>
        </is>
      </c>
      <c r="I2" s="285" t="inlineStr">
        <is>
          <t>已回款-提成口径（26年）</t>
        </is>
      </c>
      <c r="J2" s="285" t="inlineStr">
        <is>
          <t>已回款-提成口径总额</t>
        </is>
      </c>
      <c r="K2" s="285" t="inlineStr">
        <is>
          <t>待回款额</t>
        </is>
      </c>
      <c r="L2" s="286" t="inlineStr">
        <is>
          <t>已开发票金额</t>
        </is>
      </c>
      <c r="M2" s="286" t="inlineStr">
        <is>
          <t>已开票未回款</t>
        </is>
      </c>
      <c r="N2" s="287" t="inlineStr">
        <is>
          <t>回款比例</t>
        </is>
      </c>
      <c r="O2" s="288" t="inlineStr">
        <is>
          <t>税/运费</t>
        </is>
      </c>
      <c r="P2" s="284" t="inlineStr">
        <is>
          <t>预计剩余回款时间及金额</t>
        </is>
      </c>
      <c r="Q2" s="284" t="inlineStr">
        <is>
          <t>备注</t>
        </is>
      </c>
      <c r="R2" s="284" t="inlineStr">
        <is>
          <t>已回款-业绩口径(26年)</t>
        </is>
      </c>
      <c r="S2" s="289" t="n"/>
      <c r="T2" s="289" t="n"/>
      <c r="U2" s="289" t="n"/>
      <c r="V2" s="289" t="n"/>
      <c r="W2" s="289" t="n"/>
      <c r="X2" s="289" t="n"/>
      <c r="Y2" s="289" t="n"/>
      <c r="Z2" s="289" t="n"/>
      <c r="AA2" s="289" t="n"/>
      <c r="AB2" s="289" t="n"/>
      <c r="AC2" s="289" t="n"/>
    </row>
    <row r="3" s="214">
      <c r="A3" s="289" t="n"/>
      <c r="B3" s="289" t="n"/>
      <c r="C3" s="289" t="n"/>
      <c r="D3" s="289" t="n"/>
      <c r="E3" s="289" t="n"/>
      <c r="F3" s="289" t="n"/>
      <c r="G3" s="289" t="n"/>
      <c r="H3" s="289" t="n"/>
      <c r="I3" s="289" t="n"/>
      <c r="J3" s="289" t="n"/>
      <c r="K3" s="289" t="n"/>
      <c r="L3" s="289" t="n"/>
      <c r="M3" s="289" t="n"/>
      <c r="N3" s="289" t="n"/>
      <c r="O3" s="289" t="n"/>
      <c r="P3" s="289" t="n"/>
      <c r="Q3" s="289" t="n"/>
      <c r="R3" s="284" t="inlineStr">
        <is>
          <t>1月</t>
        </is>
      </c>
      <c r="S3" s="284" t="inlineStr">
        <is>
          <t>2月</t>
        </is>
      </c>
      <c r="T3" s="284" t="inlineStr">
        <is>
          <t>3月</t>
        </is>
      </c>
      <c r="U3" s="284" t="inlineStr">
        <is>
          <t>4月</t>
        </is>
      </c>
      <c r="V3" s="284" t="inlineStr">
        <is>
          <t>5月</t>
        </is>
      </c>
      <c r="W3" s="284" t="inlineStr">
        <is>
          <t>6月</t>
        </is>
      </c>
      <c r="X3" s="284" t="inlineStr">
        <is>
          <t>7月</t>
        </is>
      </c>
      <c r="Y3" s="284" t="inlineStr">
        <is>
          <t>8月</t>
        </is>
      </c>
      <c r="Z3" s="284" t="inlineStr">
        <is>
          <t>9月</t>
        </is>
      </c>
      <c r="AA3" s="284" t="inlineStr">
        <is>
          <t>10月</t>
        </is>
      </c>
      <c r="AB3" s="284" t="inlineStr">
        <is>
          <t>11月</t>
        </is>
      </c>
      <c r="AC3" s="284" t="inlineStr">
        <is>
          <t>12月</t>
        </is>
      </c>
    </row>
    <row r="4" ht="17" customFormat="1" customHeight="1" s="290">
      <c r="A4" s="291" t="inlineStr">
        <is>
          <t>吴傲翔</t>
        </is>
      </c>
      <c r="B4" s="291" t="inlineStr">
        <is>
          <t>庄志勇</t>
        </is>
      </c>
      <c r="C4" s="291" t="n"/>
      <c r="D4" s="291" t="n"/>
      <c r="E4" s="292" t="n">
        <v>46054</v>
      </c>
      <c r="F4" s="293" t="n">
        <v>18700</v>
      </c>
      <c r="G4" s="293" t="inlineStr">
        <is>
          <t>/</t>
        </is>
      </c>
      <c r="H4" s="293" t="inlineStr">
        <is>
          <t>/</t>
        </is>
      </c>
      <c r="I4" s="294">
        <f>SUM(R4:AC4)</f>
        <v/>
      </c>
      <c r="J4" s="294">
        <f>SUM(H4:I4)</f>
        <v/>
      </c>
      <c r="K4" s="294">
        <f>F4-J4</f>
        <v/>
      </c>
      <c r="L4" s="294" t="n">
        <v>63000</v>
      </c>
      <c r="M4" s="294" t="n"/>
      <c r="N4" s="295">
        <f>IFERROR(J4/F4,0)</f>
        <v/>
      </c>
      <c r="O4" s="294" t="n"/>
      <c r="P4" s="296" t="n"/>
      <c r="Q4" s="293" t="n"/>
      <c r="R4" s="293" t="n"/>
      <c r="S4" s="293" t="n">
        <v>18700</v>
      </c>
      <c r="T4" s="293" t="n"/>
      <c r="U4" s="293" t="n"/>
      <c r="V4" s="293" t="n"/>
      <c r="W4" s="293" t="n"/>
      <c r="X4" s="293" t="n"/>
      <c r="Y4" s="293" t="n"/>
      <c r="Z4" s="297" t="n"/>
      <c r="AA4" s="293" t="n"/>
      <c r="AB4" s="294" t="n"/>
      <c r="AC4" s="293" t="n"/>
    </row>
    <row r="5" ht="17" customFormat="1" customHeight="1" s="298">
      <c r="A5" s="299" t="n"/>
      <c r="B5" s="299" t="n"/>
      <c r="C5" s="299" t="n"/>
      <c r="D5" s="300" t="inlineStr">
        <is>
          <t>个人小计：</t>
        </is>
      </c>
      <c r="E5" s="301" t="n"/>
      <c r="F5" s="302">
        <f>SUM(F4:F4)</f>
        <v/>
      </c>
      <c r="G5" s="302">
        <f>SUM(G4:G4)</f>
        <v/>
      </c>
      <c r="H5" s="302">
        <f>SUM(H4:H4)</f>
        <v/>
      </c>
      <c r="I5" s="302">
        <f>SUM(I4:I4)</f>
        <v/>
      </c>
      <c r="J5" s="302">
        <f>SUM(J4:J4)</f>
        <v/>
      </c>
      <c r="K5" s="302">
        <f>SUM(K4:K4)</f>
        <v/>
      </c>
      <c r="L5" s="302">
        <f>SUM(L4:L4)</f>
        <v/>
      </c>
      <c r="M5" s="302">
        <f>SUM(M4:M4)</f>
        <v/>
      </c>
      <c r="N5" s="303">
        <f>IFERROR(J5/F5,0)</f>
        <v/>
      </c>
      <c r="O5" s="302">
        <f>SUM(O4:O4)</f>
        <v/>
      </c>
      <c r="P5" s="304" t="n"/>
      <c r="Q5" s="302" t="n"/>
      <c r="R5" s="302">
        <f>SUM(R4:R4)</f>
        <v/>
      </c>
      <c r="S5" s="302">
        <f>SUM(S4:S4)</f>
        <v/>
      </c>
      <c r="T5" s="302">
        <f>SUM(T4:T4)</f>
        <v/>
      </c>
      <c r="U5" s="302">
        <f>SUM(U4:U4)</f>
        <v/>
      </c>
      <c r="V5" s="302">
        <f>SUM(V4:V4)</f>
        <v/>
      </c>
      <c r="W5" s="302">
        <f>SUM(W4:W4)</f>
        <v/>
      </c>
      <c r="X5" s="302">
        <f>SUM(X4:X4)</f>
        <v/>
      </c>
      <c r="Y5" s="302">
        <f>SUM(Y4:Y4)</f>
        <v/>
      </c>
      <c r="Z5" s="302">
        <f>SUM(Z4:Z4)</f>
        <v/>
      </c>
      <c r="AA5" s="302">
        <f>SUM(AA4:AA4)</f>
        <v/>
      </c>
      <c r="AB5" s="302">
        <f>SUM(AB4:AB4)</f>
        <v/>
      </c>
      <c r="AC5" s="302">
        <f>SUM(AC4:AC4)</f>
        <v/>
      </c>
    </row>
    <row r="6" ht="17" customFormat="1" customHeight="1" s="305">
      <c r="A6" s="306" t="n"/>
      <c r="B6" s="306" t="n"/>
      <c r="C6" s="306" t="n"/>
      <c r="D6" s="306" t="n"/>
      <c r="E6" s="307" t="n"/>
      <c r="F6" s="306" t="n"/>
      <c r="G6" s="306" t="n"/>
      <c r="H6" s="306" t="n"/>
      <c r="I6" s="306" t="n"/>
      <c r="J6" s="306" t="n"/>
      <c r="K6" s="306" t="n"/>
      <c r="L6" s="308" t="n"/>
      <c r="M6" s="308" t="n"/>
      <c r="N6" s="309" t="n"/>
      <c r="O6" s="306" t="n"/>
      <c r="P6" s="310" t="n"/>
      <c r="Q6" s="306" t="n"/>
      <c r="R6" s="306" t="n"/>
      <c r="S6" s="306" t="n"/>
      <c r="T6" s="306" t="n"/>
      <c r="U6" s="306" t="n"/>
      <c r="V6" s="306" t="n"/>
      <c r="W6" s="306" t="n"/>
      <c r="X6" s="306" t="n"/>
      <c r="Y6" s="306" t="n"/>
      <c r="Z6" s="306" t="n"/>
      <c r="AA6" s="306" t="n"/>
      <c r="AB6" s="306" t="n"/>
      <c r="AC6" s="306" t="n"/>
    </row>
    <row r="7" ht="17" customFormat="1" customHeight="1" s="22">
      <c r="A7" s="311" t="n"/>
      <c r="B7" s="311" t="n"/>
      <c r="C7" s="311" t="n"/>
      <c r="D7" s="312" t="inlineStr">
        <is>
          <t>部门总计：</t>
        </is>
      </c>
      <c r="E7" s="301" t="n"/>
      <c r="F7" s="302">
        <f>F5</f>
        <v/>
      </c>
      <c r="G7" s="302">
        <f>G5</f>
        <v/>
      </c>
      <c r="H7" s="302">
        <f>H5</f>
        <v/>
      </c>
      <c r="I7" s="302">
        <f>I5</f>
        <v/>
      </c>
      <c r="J7" s="302">
        <f>J5</f>
        <v/>
      </c>
      <c r="K7" s="302">
        <f>K5</f>
        <v/>
      </c>
      <c r="L7" s="302">
        <f>L5</f>
        <v/>
      </c>
      <c r="M7" s="302">
        <f>M5</f>
        <v/>
      </c>
      <c r="N7" s="303">
        <f>IFERROR(J7/F7,0)</f>
        <v/>
      </c>
      <c r="O7" s="302">
        <f>O5</f>
        <v/>
      </c>
      <c r="P7" s="302">
        <f>P5</f>
        <v/>
      </c>
      <c r="Q7" s="302">
        <f>Q5</f>
        <v/>
      </c>
      <c r="R7" s="302">
        <f>R5</f>
        <v/>
      </c>
      <c r="S7" s="302">
        <f>S5</f>
        <v/>
      </c>
      <c r="T7" s="302">
        <f>T5</f>
        <v/>
      </c>
      <c r="U7" s="302">
        <f>U5</f>
        <v/>
      </c>
      <c r="V7" s="302">
        <f>V5</f>
        <v/>
      </c>
      <c r="W7" s="302">
        <f>W5</f>
        <v/>
      </c>
      <c r="X7" s="302">
        <f>X5</f>
        <v/>
      </c>
      <c r="Y7" s="302">
        <f>Y5</f>
        <v/>
      </c>
      <c r="Z7" s="302">
        <f>Z5</f>
        <v/>
      </c>
      <c r="AA7" s="302">
        <f>AA5</f>
        <v/>
      </c>
      <c r="AB7" s="302">
        <f>AB5</f>
        <v/>
      </c>
      <c r="AC7" s="302">
        <f>AC5</f>
        <v/>
      </c>
    </row>
    <row r="8">
      <c r="A8" s="219" t="n"/>
      <c r="B8" s="219" t="n"/>
      <c r="C8" s="219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</row>
    <row r="9" s="214">
      <c r="A9" s="219" t="n"/>
      <c r="B9" s="219" t="n"/>
      <c r="C9" s="219" t="n"/>
      <c r="D9" s="219" t="n"/>
      <c r="E9" s="219" t="n"/>
      <c r="F9" s="228">
        <f>F7</f>
        <v/>
      </c>
      <c r="G9" s="228">
        <f>G7</f>
        <v/>
      </c>
      <c r="H9" s="228">
        <f>H7</f>
        <v/>
      </c>
      <c r="I9" s="228">
        <f>I7</f>
        <v/>
      </c>
      <c r="J9" s="228">
        <f>J7</f>
        <v/>
      </c>
      <c r="K9" s="228">
        <f>K7</f>
        <v/>
      </c>
      <c r="L9" s="228">
        <f>L7</f>
        <v/>
      </c>
      <c r="M9" s="228">
        <f>M7</f>
        <v/>
      </c>
      <c r="N9" s="313">
        <f>N7</f>
        <v/>
      </c>
      <c r="O9" s="228">
        <f>O7</f>
        <v/>
      </c>
      <c r="P9" s="228">
        <f>P7</f>
        <v/>
      </c>
      <c r="Q9" s="294">
        <f>Q7</f>
        <v/>
      </c>
      <c r="R9" s="294">
        <f>R7</f>
        <v/>
      </c>
      <c r="S9" s="294">
        <f>S7</f>
        <v/>
      </c>
      <c r="T9" s="294">
        <f>T7</f>
        <v/>
      </c>
      <c r="U9" s="294">
        <f>U7</f>
        <v/>
      </c>
      <c r="V9" s="294">
        <f>V7</f>
        <v/>
      </c>
      <c r="W9" s="294">
        <f>W7</f>
        <v/>
      </c>
      <c r="X9" s="294">
        <f>X7</f>
        <v/>
      </c>
      <c r="Y9" s="294">
        <f>Y7</f>
        <v/>
      </c>
      <c r="Z9" s="294">
        <f>Z7</f>
        <v/>
      </c>
      <c r="AA9" s="294">
        <f>AA7</f>
        <v/>
      </c>
      <c r="AB9" s="294">
        <f>AB7</f>
        <v/>
      </c>
      <c r="AC9" s="294">
        <f>AC7</f>
        <v/>
      </c>
    </row>
    <row r="10" s="214">
      <c r="AD10" s="276" t="n"/>
    </row>
  </sheetData>
  <autoFilter ref="A2:AC6"/>
  <conditionalFormatting sqref="N4">
    <cfRule type="cellIs" priority="36" operator="lessThan" dxfId="2">
      <formula>1</formula>
    </cfRule>
  </conditionalFormatting>
  <conditionalFormatting sqref="N1:N3 N5:N1048576">
    <cfRule type="cellIs" priority="96" operator="lessThan" dxfId="2">
      <formula>1</formula>
    </cfRule>
  </conditionalFormatting>
  <dataValidations count="1">
    <dataValidation sqref="B1:B3 B4 B5:B6 B7:B1048576" showDropDown="0" showInputMessage="1" showErrorMessage="1" allowBlank="1" type="list">
      <formula1>"广州德纳智谷科技有限公司,广东超元力文化科技有限公司,广州德为科技有限公司,庄志勇,其他"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tabSelected="1" zoomScale="85" zoomScaleNormal="85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E24" sqref="E24"/>
    </sheetView>
  </sheetViews>
  <sheetFormatPr baseColWidth="8" defaultColWidth="9" defaultRowHeight="16" customHeight="1" outlineLevelRow="1"/>
  <cols>
    <col width="8.109090909090909" customWidth="1" style="2" min="1" max="2"/>
    <col width="13.2272727272727" customWidth="1" style="2" min="3" max="3"/>
    <col width="23.3818181818182" customWidth="1" style="2" min="4" max="4"/>
    <col width="23.7545454545455" customWidth="1" style="2" min="5" max="5"/>
    <col width="22.5" customWidth="1" style="2" min="6" max="6"/>
    <col width="11" customWidth="1" style="2" min="7" max="7"/>
    <col width="12.8181818181818" customWidth="1" style="2" min="8" max="8"/>
    <col width="10.7545454545455" customWidth="1" style="2" min="9" max="9"/>
    <col width="15.3818181818182" customWidth="1" style="2" min="10" max="10"/>
    <col width="15" customWidth="1" style="314" min="11" max="11"/>
    <col width="13.5545454545455" customWidth="1" style="315" min="12" max="12"/>
    <col width="9.21818181818182" customWidth="1" style="2" min="13" max="13"/>
    <col width="11" customWidth="1" style="314" min="14" max="14"/>
    <col width="13.9636363636364" customWidth="1" style="315" min="15" max="15"/>
    <col width="11.7909090909091" customWidth="1" style="315" min="16" max="16"/>
    <col width="11" customWidth="1" style="2" min="17" max="17"/>
    <col width="15.7" customWidth="1" style="2" min="18" max="18"/>
    <col width="11" customWidth="1" style="2" min="19" max="24"/>
  </cols>
  <sheetData>
    <row r="1" ht="15" customFormat="1" customHeight="1" s="1">
      <c r="A1" s="5" t="inlineStr">
        <is>
          <t>组别</t>
        </is>
      </c>
      <c r="B1" s="5" t="inlineStr">
        <is>
          <t>姓名</t>
        </is>
      </c>
      <c r="C1" s="5" t="inlineStr">
        <is>
          <t>收款主体</t>
        </is>
      </c>
      <c r="D1" s="5" t="inlineStr">
        <is>
          <t>客户名称</t>
        </is>
      </c>
      <c r="E1" s="5" t="inlineStr">
        <is>
          <t>产品</t>
        </is>
      </c>
      <c r="F1" s="5" t="inlineStr">
        <is>
          <t>落地地点</t>
        </is>
      </c>
      <c r="G1" s="5" t="inlineStr">
        <is>
          <t>客户来源</t>
        </is>
      </c>
      <c r="H1" s="5" t="inlineStr">
        <is>
          <t>项目状态</t>
        </is>
      </c>
      <c r="I1" s="5" t="inlineStr">
        <is>
          <t>回款状态</t>
        </is>
      </c>
      <c r="J1" s="5" t="inlineStr">
        <is>
          <t>跟进情况</t>
        </is>
      </c>
      <c r="K1" s="5" t="inlineStr">
        <is>
          <t>签约日期</t>
        </is>
      </c>
      <c r="L1" s="316" t="inlineStr">
        <is>
          <t>签约金额</t>
        </is>
      </c>
      <c r="M1" s="5" t="inlineStr">
        <is>
          <t>居间费</t>
        </is>
      </c>
      <c r="N1" s="5" t="inlineStr">
        <is>
          <t>回款日期</t>
        </is>
      </c>
      <c r="O1" s="316" t="inlineStr">
        <is>
          <t>回款金额</t>
        </is>
      </c>
      <c r="P1" s="316" t="inlineStr">
        <is>
          <t>回款比例</t>
        </is>
      </c>
      <c r="Q1" s="7" t="inlineStr">
        <is>
          <t>税费</t>
        </is>
      </c>
      <c r="R1" s="8" t="inlineStr">
        <is>
          <t>签约年月</t>
        </is>
      </c>
      <c r="S1" s="8" t="inlineStr">
        <is>
          <t>签约季度</t>
        </is>
      </c>
      <c r="T1" s="8" t="inlineStr">
        <is>
          <t>签约年度</t>
        </is>
      </c>
      <c r="U1" s="9" t="inlineStr">
        <is>
          <t>回款年月</t>
        </is>
      </c>
      <c r="V1" s="9" t="inlineStr">
        <is>
          <t>回款季度</t>
        </is>
      </c>
      <c r="W1" s="9" t="inlineStr">
        <is>
          <t>回款年度</t>
        </is>
      </c>
      <c r="X1" s="5" t="inlineStr">
        <is>
          <t>状态</t>
        </is>
      </c>
    </row>
    <row r="2" ht="15" customHeight="1" s="214">
      <c r="A2" s="11" t="inlineStr">
        <is>
          <t>傲翔组</t>
        </is>
      </c>
      <c r="B2" s="11" t="inlineStr">
        <is>
          <t>胡佳新</t>
        </is>
      </c>
      <c r="C2" s="11" t="inlineStr">
        <is>
          <t>广州德纳智谷科技有限公司</t>
        </is>
      </c>
      <c r="D2" s="11" t="inlineStr">
        <is>
          <t>北京汇融视景科技有限公司</t>
        </is>
      </c>
      <c r="E2" s="11" t="inlineStr">
        <is>
          <t>甘肃科技馆影片</t>
        </is>
      </c>
      <c r="F2" s="11" t="n"/>
      <c r="G2" s="11" t="inlineStr">
        <is>
          <t>自拓</t>
        </is>
      </c>
      <c r="H2" s="317" t="inlineStr">
        <is>
          <t>已签约</t>
        </is>
      </c>
      <c r="I2" s="317" t="n"/>
      <c r="J2" s="318" t="n"/>
      <c r="K2" s="319" t="n">
        <v>45992</v>
      </c>
      <c r="L2" s="320" t="n">
        <v>20000</v>
      </c>
      <c r="M2" s="11" t="n"/>
      <c r="N2" s="319" t="n">
        <v>46006</v>
      </c>
      <c r="O2" s="320" t="n">
        <v>20000</v>
      </c>
      <c r="P2" s="11" t="n"/>
      <c r="Q2" s="11" t="n"/>
      <c r="R2" s="11">
        <f>TEXT(K2,"yyyy-mm")</f>
        <v/>
      </c>
      <c r="S2" s="11">
        <f>YEAR(K2)&amp;"Q"&amp;ROUNDUP(MONTH(K2)/3,0)</f>
        <v/>
      </c>
      <c r="T2" s="321">
        <f>TEXT(K2,"yyyy")</f>
        <v/>
      </c>
      <c r="U2" s="11">
        <f>TEXT(N2,"yyyy-mm")</f>
        <v/>
      </c>
      <c r="V2" s="11">
        <f>YEAR(N2)&amp;"Q"&amp;ROUNDUP(MONTH(N2)/3,0)</f>
        <v/>
      </c>
      <c r="W2" s="11">
        <f>YEAR(N2)</f>
        <v/>
      </c>
      <c r="X2" s="11">
        <f>IF(O2=0,"未回款",IF(SUMIF(E:E,E2,O:O)=L2,"已回款","部分回款"))</f>
        <v/>
      </c>
      <c r="Y2" s="18" t="n"/>
    </row>
  </sheetData>
  <autoFilter ref="A1:X2"/>
  <conditionalFormatting sqref="E1">
    <cfRule type="expression" priority="1295" dxfId="3">
      <formula>AND(#REF!&gt;0,#REF!&gt;0)</formula>
    </cfRule>
  </conditionalFormatting>
  <conditionalFormatting sqref="I1">
    <cfRule type="expression" priority="362" dxfId="3">
      <formula>AND(#REF!&gt;0,#REF!&gt;0)</formula>
    </cfRule>
    <cfRule type="expression" priority="361" dxfId="4">
      <formula>AND(#REF!&gt;0,,#REF!&gt;0)</formula>
    </cfRule>
  </conditionalFormatting>
  <conditionalFormatting sqref="J1">
    <cfRule type="expression" priority="1297" dxfId="3">
      <formula>AND(#REF!&gt;0,#REF!&gt;0)</formula>
    </cfRule>
  </conditionalFormatting>
  <conditionalFormatting sqref="A2:B2">
    <cfRule type="expression" priority="574" dxfId="3">
      <formula>AND(#REF!&gt;0,#REF!&gt;0)</formula>
    </cfRule>
  </conditionalFormatting>
  <conditionalFormatting sqref="E2">
    <cfRule type="expression" priority="747" dxfId="3">
      <formula>AND(#REF!&gt;0,#REF!&gt;0)</formula>
    </cfRule>
  </conditionalFormatting>
  <conditionalFormatting sqref="F2">
    <cfRule type="expression" priority="1459" dxfId="3">
      <formula>AND(#REF!&gt;0,#REF!&gt;0)</formula>
    </cfRule>
  </conditionalFormatting>
  <conditionalFormatting sqref="H2">
    <cfRule type="expression" priority="579" dxfId="3">
      <formula>AND(#REF!&gt;0,#REF!&gt;0)</formula>
    </cfRule>
  </conditionalFormatting>
  <conditionalFormatting sqref="I2">
    <cfRule type="expression" priority="1778" dxfId="3">
      <formula>AND(#REF!&gt;0,#REF!&gt;0)</formula>
    </cfRule>
  </conditionalFormatting>
  <conditionalFormatting sqref="J2">
    <cfRule type="expression" priority="1460" dxfId="3">
      <formula>AND(#REF!&gt;0,#REF!&gt;0)</formula>
    </cfRule>
  </conditionalFormatting>
  <conditionalFormatting sqref="E3:E1048154">
    <cfRule type="expression" priority="1250" dxfId="3">
      <formula>AND(#REF!&gt;0,B4&gt;0)</formula>
    </cfRule>
  </conditionalFormatting>
  <conditionalFormatting sqref="E1048155:E1048576">
    <cfRule type="expression" priority="1384" dxfId="3">
      <formula>AND(#REF!&gt;0,#REF!&gt;0)</formula>
    </cfRule>
  </conditionalFormatting>
  <conditionalFormatting sqref="F3:F1048154">
    <cfRule type="expression" priority="1380" dxfId="3">
      <formula>AND(#REF!&gt;0,C4&gt;0)</formula>
    </cfRule>
  </conditionalFormatting>
  <conditionalFormatting sqref="F1048155:F1048576">
    <cfRule type="expression" priority="1385" dxfId="3">
      <formula>AND(#REF!&gt;0,#REF!&gt;0)</formula>
    </cfRule>
  </conditionalFormatting>
  <conditionalFormatting sqref="H3:H1048154">
    <cfRule type="expression" priority="990" dxfId="3">
      <formula>AND(#REF!&gt;0,D4&gt;0)</formula>
    </cfRule>
  </conditionalFormatting>
  <conditionalFormatting sqref="I3:I1048154">
    <cfRule type="expression" priority="1786" dxfId="3">
      <formula>AND(#REF!&gt;0,E4&gt;0)</formula>
    </cfRule>
  </conditionalFormatting>
  <conditionalFormatting sqref="J3:J1048154">
    <cfRule type="expression" priority="1229" dxfId="3">
      <formula>AND(#REF!&gt;0,G4&gt;0)</formula>
    </cfRule>
  </conditionalFormatting>
  <conditionalFormatting sqref="J1048155:J1048576">
    <cfRule type="expression" priority="1382" dxfId="3">
      <formula>AND(#REF!&gt;0,#REF!&gt;0)</formula>
    </cfRule>
  </conditionalFormatting>
  <conditionalFormatting sqref="A1:B1 E1:F1 H1 J1">
    <cfRule type="expression" priority="1294" dxfId="4">
      <formula>AND(#REF!&gt;0,,#REF!&gt;0)</formula>
    </cfRule>
  </conditionalFormatting>
  <conditionalFormatting sqref="A1:B1 A3:B1048576">
    <cfRule type="expression" priority="991" dxfId="3">
      <formula>AND(#REF!&gt;0,#REF!&gt;0)</formula>
    </cfRule>
  </conditionalFormatting>
  <conditionalFormatting sqref="F1 H1">
    <cfRule type="expression" priority="1296" dxfId="3">
      <formula>AND(#REF!&gt;0,#REF!&gt;0)</formula>
    </cfRule>
  </conditionalFormatting>
  <conditionalFormatting sqref="A2:B2 E2:F2 H2:J2">
    <cfRule type="expression" priority="578" dxfId="4">
      <formula>AND(#REF!&gt;0,,#REF!&gt;0)</formula>
    </cfRule>
  </conditionalFormatting>
  <conditionalFormatting sqref="A3:B1048154 E3:F1048154 H3:J1048154">
    <cfRule type="expression" priority="1000" dxfId="4">
      <formula>AND($L4&gt;0,,$O4&gt;0)</formula>
    </cfRule>
  </conditionalFormatting>
  <conditionalFormatting sqref="A1048155:B1048576 E1048155:F1048576 H1048155:J1048576">
    <cfRule type="expression" priority="1381" dxfId="4">
      <formula>AND(#REF!&gt;0,,#REF!&gt;0)</formula>
    </cfRule>
  </conditionalFormatting>
  <conditionalFormatting sqref="H1048155:I1048576">
    <cfRule type="expression" priority="1386" dxfId="3">
      <formula>AND(#REF!&gt;0,#REF!&gt;0)</formula>
    </cfRule>
  </conditionalFormatting>
  <dataValidations count="5">
    <dataValidation sqref="G1 G3:G1048576" showDropDown="0" showInputMessage="1" showErrorMessage="1" allowBlank="1" type="list">
      <formula1>"GTI,郑州展会,公司资源,柏丽分配,自拓"</formula1>
    </dataValidation>
    <dataValidation sqref="H1 H3:H1048576" showDropDown="0" showInputMessage="1" showErrorMessage="1" allowBlank="1" type="list">
      <formula1>"已签约,已签约未回款,待签约,跟进中,有初步意向,等待门店体验,黄了"</formula1>
    </dataValidation>
    <dataValidation sqref="H2" showDropDown="0" showInputMessage="1" showErrorMessage="1" allowBlank="1" type="list">
      <formula1>"已签约,已签约未回款,待签约,跟进中,有初步意向,黄了"</formula1>
    </dataValidation>
    <dataValidation sqref="A1:A2 A3:A1048576" showDropDown="0" showInputMessage="1" showErrorMessage="1" allowBlank="1" type="list">
      <formula1>"勇哥组,傲翔组,意林组,冉哥组,王安祥组,外贸组"</formula1>
    </dataValidation>
    <dataValidation sqref="I1:I2 I3:I1048576" showDropDown="0" showInputMessage="1" showErrorMessage="1" allowBlank="1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moxuan</dc:creator>
  <dcterms:created xsi:type="dcterms:W3CDTF">2023-05-12T03:15:00Z</dcterms:created>
  <dcterms:modified xsi:type="dcterms:W3CDTF">2026-07-16T01:48:41Z</dcterms:modified>
  <cp:lastModifiedBy>超元力人事部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i4>0</vt:i4>
  </property>
  <property name="KSOReadingLayout" fmtid="{D5CDD505-2E9C-101B-9397-08002B2CF9AE}" pid="3">
    <vt:bool>1</vt:bool>
  </property>
  <property name="KSOProductBuildVer" fmtid="{D5CDD505-2E9C-101B-9397-08002B2CF9AE}" pid="4">
    <vt:lpwstr>2052-12.1.0.26895</vt:lpwstr>
  </property>
  <property name="ICV" fmtid="{D5CDD505-2E9C-101B-9397-08002B2CF9AE}" pid="5">
    <vt:lpwstr>2AF525650D394FE39F2687024D028E2E_13</vt:lpwstr>
  </property>
</Properties>
</file>